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 firstSheet="1" activeTab="1"/>
  </bookViews>
  <sheets>
    <sheet name="26年7月京东平台节奏" sheetId="1" state="hidden" r:id="rId1"/>
    <sheet name="26年7月目标拆解及登记" sheetId="2" r:id="rId2"/>
    <sheet name="sku匹配表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<sst xmlns="http://schemas.openxmlformats.org/spreadsheetml/2006/main" count="1195" uniqueCount="126">
  <si>
    <t>月份</t>
  </si>
  <si>
    <t>7月</t>
  </si>
  <si>
    <t>日期</t>
  </si>
  <si>
    <t>20☆</t>
  </si>
  <si>
    <t>周三</t>
  </si>
  <si>
    <t>周四</t>
  </si>
  <si>
    <t>周五</t>
  </si>
  <si>
    <t>周六</t>
  </si>
  <si>
    <t>周日</t>
  </si>
  <si>
    <t>周一</t>
  </si>
  <si>
    <t>周二</t>
  </si>
  <si>
    <t>平台节奏</t>
  </si>
  <si>
    <t>暑期出游</t>
  </si>
  <si>
    <t>清凉一夏</t>
  </si>
  <si>
    <t>居家避暑</t>
  </si>
  <si>
    <t>焕新出发</t>
  </si>
  <si>
    <t>京东3C数码</t>
  </si>
  <si>
    <t>主推阶段&amp;免单玩法&amp;场域联动</t>
  </si>
  <si>
    <t>中小学考试冲刺季
升学无忧抽免单
教育严选直播间/京东图书</t>
  </si>
  <si>
    <t>假期出游季
玩乐无忧抽免单
京东相机直播间/装机大师</t>
  </si>
  <si>
    <t>高考放榜季
升学无忧抽免单
京东电脑直播间</t>
  </si>
  <si>
    <t>运动季
玩乐无忧免单
3C数码采销直播间</t>
  </si>
  <si>
    <t>big day</t>
  </si>
  <si>
    <t>电竞游戏季
电竞无忧抽免单
京东电竞直播间</t>
  </si>
  <si>
    <t>核心利益点</t>
  </si>
  <si>
    <t>3C 好物抽免单
国家补贴叠加以旧换新低至5折
认证学生用户，教育优惠至高2000元</t>
  </si>
  <si>
    <t>推广跟销售节奏要优化，拉高开门红比例，降低21号之后的投入</t>
  </si>
  <si>
    <t>自营销售占比</t>
  </si>
  <si>
    <t>自营费用占比</t>
  </si>
  <si>
    <t>官旗节奏要反营销节奏</t>
  </si>
  <si>
    <t>天猫官旗销售占比</t>
  </si>
  <si>
    <t>天猫官旗费用占比</t>
  </si>
  <si>
    <t>天猫智选销售占比</t>
  </si>
  <si>
    <t>天猫智选费用占比</t>
  </si>
  <si>
    <t>时间进度</t>
  </si>
  <si>
    <t>智选销售占比</t>
  </si>
  <si>
    <t>店铺</t>
  </si>
  <si>
    <t>指标</t>
  </si>
  <si>
    <t>合计</t>
  </si>
  <si>
    <t>占比</t>
  </si>
  <si>
    <t>华为京东自营</t>
  </si>
  <si>
    <t>成交金额目标</t>
  </si>
  <si>
    <t>成交金额达成</t>
  </si>
  <si>
    <t>成交金额达成率</t>
  </si>
  <si>
    <t>实际推广花费</t>
  </si>
  <si>
    <t>目标投入金额</t>
  </si>
  <si>
    <t>目标费率</t>
  </si>
  <si>
    <t>实际费率</t>
  </si>
  <si>
    <t>京东小豚</t>
  </si>
  <si>
    <t>实际投入金额</t>
  </si>
  <si>
    <t>抖音小豚</t>
  </si>
  <si>
    <t>天猫华为官旗</t>
  </si>
  <si>
    <t>天猫智选</t>
  </si>
  <si>
    <t>销售目标拆解</t>
  </si>
  <si>
    <t>AF</t>
  </si>
  <si>
    <t>AI</t>
  </si>
  <si>
    <t>AL</t>
  </si>
  <si>
    <t>AO</t>
  </si>
  <si>
    <t>AR</t>
  </si>
  <si>
    <t>AU</t>
  </si>
  <si>
    <t>AX</t>
  </si>
  <si>
    <t>BA</t>
  </si>
  <si>
    <t>BD</t>
  </si>
  <si>
    <t>BG</t>
  </si>
  <si>
    <t>BJ</t>
  </si>
  <si>
    <t>BM</t>
  </si>
  <si>
    <t>BP</t>
  </si>
  <si>
    <t>BS</t>
  </si>
  <si>
    <t>BV</t>
  </si>
  <si>
    <t>BY</t>
  </si>
  <si>
    <t>CB</t>
  </si>
  <si>
    <t>CE</t>
  </si>
  <si>
    <t>CH</t>
  </si>
  <si>
    <t>CK</t>
  </si>
  <si>
    <t>CN</t>
  </si>
  <si>
    <t>CQ</t>
  </si>
  <si>
    <t>CT</t>
  </si>
  <si>
    <t>CW</t>
  </si>
  <si>
    <t>CZ</t>
  </si>
  <si>
    <t>型号</t>
  </si>
  <si>
    <t>上月客单</t>
  </si>
  <si>
    <t>XT-H40</t>
  </si>
  <si>
    <t>支付件数目标</t>
  </si>
  <si>
    <t>成交金额目标占比</t>
  </si>
  <si>
    <t>目标投入金额占比</t>
  </si>
  <si>
    <t>实际支付件数</t>
  </si>
  <si>
    <t>实际成交金额</t>
  </si>
  <si>
    <t>XT-H41</t>
  </si>
  <si>
    <t>XT-H43</t>
  </si>
  <si>
    <t>XT-H42</t>
  </si>
  <si>
    <t>XT-H32</t>
  </si>
  <si>
    <t>XT-H34</t>
  </si>
  <si>
    <t>XT-H33C（星闪款）</t>
  </si>
  <si>
    <t>DPH-OP-100</t>
  </si>
  <si>
    <t>小计</t>
  </si>
  <si>
    <t xml:space="preserve"> 支付件数目标</t>
  </si>
  <si>
    <t>XT-H33C（升级版）</t>
  </si>
  <si>
    <t>目标推广费</t>
  </si>
  <si>
    <t>上月件单</t>
  </si>
  <si>
    <t>推广花费</t>
  </si>
  <si>
    <t>DPH-IP-350</t>
  </si>
  <si>
    <t>推广目标拆解-月底/每天</t>
  </si>
  <si>
    <t>推广型号</t>
  </si>
  <si>
    <t>预算占比</t>
  </si>
  <si>
    <t>实际占比</t>
  </si>
  <si>
    <t>渠道</t>
  </si>
  <si>
    <t>关键词推广</t>
  </si>
  <si>
    <t>投入目标</t>
  </si>
  <si>
    <t>投入占比</t>
  </si>
  <si>
    <t>实际投入</t>
  </si>
  <si>
    <t>实际投入占比</t>
  </si>
  <si>
    <t>消耗进度</t>
  </si>
  <si>
    <t>人群推广</t>
  </si>
  <si>
    <t>超级短视频</t>
  </si>
  <si>
    <t>京东自营</t>
  </si>
  <si>
    <t>常规推广-关键词</t>
  </si>
  <si>
    <t>常规推广-智能化</t>
  </si>
  <si>
    <t>常规推广-人群</t>
  </si>
  <si>
    <t>全店推广</t>
  </si>
  <si>
    <t>站外广告</t>
  </si>
  <si>
    <t>SKU</t>
  </si>
  <si>
    <t>型号名</t>
  </si>
  <si>
    <t>款式</t>
  </si>
  <si>
    <t>价位段</t>
  </si>
  <si>
    <t>H42</t>
  </si>
  <si>
    <t>鲸瞳MAX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</si>
</sst>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  <numFmt numFmtId="177" formatCode="0.0%"/>
    <numFmt numFmtId="178" formatCode="0&quot;.&quot;0,&quot;万&quot;"/>
    <numFmt numFmtId="179" formatCode="0_);[Red]\(0\)"/>
  </numFmts>
  <fonts count="61">
    <font>
      <sz val="12"/>
      <color theme="1"/>
      <name val="等线"/>
      <charset val="134"/>
      <scheme val="minor"/>
    </font>
    <font>
      <sz val="11"/>
      <color rgb="FF000000"/>
      <name val="微软雅黑"/>
      <charset val="134"/>
    </font>
    <font>
      <b/>
      <sz val="14"/>
      <color rgb="FF000000"/>
      <name val="等线"/>
      <charset val="134"/>
    </font>
    <font>
      <sz val="14"/>
      <color rgb="FF000000"/>
      <name val="等线"/>
      <charset val="134"/>
    </font>
    <font>
      <sz val="10"/>
      <color rgb="FF000000"/>
      <name val="等线"/>
      <charset val="134"/>
    </font>
    <font>
      <b/>
      <sz val="18"/>
      <color rgb="FF000000"/>
      <name val="等线"/>
      <charset val="134"/>
    </font>
    <font>
      <sz val="12"/>
      <color rgb="FF000000"/>
      <name val="等线"/>
      <charset val="134"/>
    </font>
    <font>
      <b/>
      <sz val="12"/>
      <color rgb="FF000000"/>
      <name val="等线"/>
      <charset val="134"/>
    </font>
    <font>
      <sz val="16"/>
      <color rgb="FF000000"/>
      <name val="等线"/>
      <charset val="134"/>
    </font>
    <font>
      <b/>
      <sz val="10"/>
      <color rgb="FF000000"/>
      <name val="等线"/>
      <charset val="134"/>
    </font>
    <font>
      <b/>
      <sz val="10"/>
      <color rgb="FFFFFFFF"/>
      <name val="京东朗正体 1.0 玲珑"/>
      <charset val="134"/>
    </font>
    <font>
      <sz val="11"/>
      <color rgb="FFFFFFFF"/>
      <name val="京东朗正体 1.0 玲珑"/>
      <charset val="134"/>
    </font>
    <font>
      <b/>
      <sz val="14"/>
      <color rgb="FF000000"/>
      <name val="微软雅黑"/>
      <charset val="134"/>
    </font>
    <font>
      <sz val="14"/>
      <color rgb="FF000000"/>
      <name val="微软雅黑"/>
      <charset val="134"/>
    </font>
    <font>
      <sz val="11"/>
      <color rgb="FF000000"/>
      <name val="Microsoft YaHei"/>
      <charset val="134"/>
    </font>
    <font>
      <b/>
      <sz val="11"/>
      <color rgb="FF000000"/>
      <name val="Microsoft YaHei"/>
      <charset val="134"/>
    </font>
    <font>
      <sz val="10"/>
      <color rgb="FF000000"/>
      <name val="Microsoft YaHei"/>
      <charset val="134"/>
    </font>
    <font>
      <b/>
      <sz val="11"/>
      <color rgb="FF000000"/>
      <name val="微软雅黑"/>
      <charset val="134"/>
    </font>
    <font>
      <sz val="14"/>
      <color rgb="FF000000"/>
      <name val="Microsoft YaHei"/>
      <charset val="134"/>
    </font>
    <font>
      <sz val="14"/>
      <color rgb="FF000000"/>
      <name val="宋体"/>
      <charset val="134"/>
    </font>
    <font>
      <sz val="12"/>
      <color rgb="FF000000"/>
      <name val="微软雅黑"/>
      <charset val="134"/>
    </font>
    <font>
      <b/>
      <sz val="11"/>
      <color rgb="FF000000"/>
      <name val="等线"/>
      <charset val="134"/>
    </font>
    <font>
      <b/>
      <sz val="18"/>
      <color rgb="FF000000"/>
      <name val="宋体"/>
      <charset val="134"/>
    </font>
    <font>
      <b/>
      <sz val="10"/>
      <color rgb="FF000000"/>
      <name val="宋体"/>
      <charset val="134"/>
    </font>
    <font>
      <sz val="20"/>
      <color rgb="FF000000"/>
      <name val="微软雅黑"/>
      <charset val="134"/>
    </font>
    <font>
      <sz val="18"/>
      <color rgb="FF000000"/>
      <name val="Microsoft YaHei"/>
      <charset val="134"/>
    </font>
    <font>
      <sz val="20"/>
      <color rgb="FF000000"/>
      <name val="等线"/>
      <charset val="134"/>
    </font>
    <font>
      <b/>
      <sz val="30"/>
      <color rgb="FF000000"/>
      <name val="微软雅黑"/>
      <charset val="134"/>
    </font>
    <font>
      <b/>
      <sz val="30"/>
      <color rgb="FF000000"/>
      <name val="等线"/>
      <charset val="134"/>
    </font>
    <font>
      <sz val="20"/>
      <color rgb="FF000000"/>
      <name val="宋体"/>
      <charset val="134"/>
    </font>
    <font>
      <b/>
      <sz val="20"/>
      <color rgb="FF000000"/>
      <name val="微软雅黑"/>
      <charset val="134"/>
    </font>
    <font>
      <b/>
      <sz val="16"/>
      <color rgb="FF000000"/>
      <name val="微软雅黑"/>
      <charset val="134"/>
    </font>
    <font>
      <b/>
      <sz val="16"/>
      <color rgb="FF000000"/>
      <name val="等线"/>
      <charset val="134"/>
    </font>
    <font>
      <sz val="30"/>
      <color rgb="FF000000"/>
      <name val="等线"/>
      <charset val="134"/>
    </font>
    <font>
      <b/>
      <sz val="20"/>
      <color rgb="FF000000"/>
      <name val="等线"/>
      <charset val="134"/>
    </font>
    <font>
      <sz val="11"/>
      <color rgb="FF000000"/>
      <name val="等线"/>
      <charset val="134"/>
    </font>
    <font>
      <b/>
      <sz val="10"/>
      <color rgb="FFFF0000"/>
      <name val="京东朗正体 1.0 玲珑"/>
      <charset val="134"/>
    </font>
    <font>
      <b/>
      <sz val="9"/>
      <color rgb="FF000000"/>
      <name val="京东朗正体 1.0 玲珑"/>
      <charset val="134"/>
    </font>
    <font>
      <b/>
      <sz val="9"/>
      <color rgb="FFFF0000"/>
      <name val="京东朗正体 1.0 玲珑"/>
      <charset val="134"/>
    </font>
    <font>
      <b/>
      <sz val="9"/>
      <color rgb="FFFFFFFF"/>
      <name val="京东朗正体 1.0 玲珑"/>
      <charset val="134"/>
    </font>
    <font>
      <sz val="11"/>
      <color rgb="FF000000"/>
      <name val="京东朗正体 1.0 玲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CC10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71D31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AE2F6"/>
        <bgColor indexed="64"/>
      </patternFill>
    </fill>
    <fill>
      <patternFill patternType="solid">
        <fgColor rgb="FFF9E5D7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rgb="FFE4EDDB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3F3F4"/>
        <bgColor indexed="64"/>
      </patternFill>
    </fill>
    <fill>
      <patternFill patternType="solid">
        <fgColor rgb="FFFEF2F0"/>
        <bgColor indexed="64"/>
      </patternFill>
    </fill>
    <fill>
      <patternFill patternType="solid">
        <fgColor rgb="FFD7D8D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1" fillId="0" borderId="0" applyFont="0" applyFill="0" applyBorder="0" applyAlignment="0" applyProtection="0">
      <alignment vertical="center"/>
    </xf>
    <xf numFmtId="44" fontId="41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1" fillId="20" borderId="15" applyNumberFormat="0" applyFon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21" borderId="18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2" fillId="22" borderId="18" applyNumberFormat="0" applyAlignment="0" applyProtection="0">
      <alignment vertical="center"/>
    </xf>
    <xf numFmtId="0" fontId="53" fillId="23" borderId="20" applyNumberFormat="0" applyAlignment="0" applyProtection="0">
      <alignment vertical="center"/>
    </xf>
    <xf numFmtId="0" fontId="54" fillId="0" borderId="21" applyNumberFormat="0" applyFill="0" applyAlignment="0" applyProtection="0">
      <alignment vertical="center"/>
    </xf>
    <xf numFmtId="0" fontId="55" fillId="0" borderId="22" applyNumberFormat="0" applyFill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60" fillId="33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60" fillId="40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60" fillId="44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</cellStyleXfs>
  <cellXfs count="28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9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9" fontId="6" fillId="0" borderId="0" xfId="0" applyNumberFormat="1" applyFont="1">
      <alignment vertical="center"/>
    </xf>
    <xf numFmtId="0" fontId="7" fillId="0" borderId="0" xfId="0" applyFont="1">
      <alignment vertical="center"/>
    </xf>
    <xf numFmtId="176" fontId="4" fillId="0" borderId="0" xfId="0" applyNumberFormat="1" applyFont="1">
      <alignment vertical="center"/>
    </xf>
    <xf numFmtId="3" fontId="4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177" fontId="9" fillId="0" borderId="0" xfId="0" applyNumberFormat="1" applyFont="1">
      <alignment vertical="center"/>
    </xf>
    <xf numFmtId="10" fontId="9" fillId="0" borderId="0" xfId="0" applyNumberFormat="1" applyFont="1">
      <alignment vertical="center"/>
    </xf>
    <xf numFmtId="9" fontId="3" fillId="0" borderId="0" xfId="0" applyNumberFormat="1" applyFont="1" applyAlignment="1">
      <alignment horizontal="center" vertical="center"/>
    </xf>
    <xf numFmtId="9" fontId="7" fillId="0" borderId="0" xfId="0" applyNumberFormat="1" applyFont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58" fontId="2" fillId="0" borderId="0" xfId="0" applyNumberFormat="1" applyFont="1">
      <alignment vertical="center"/>
    </xf>
    <xf numFmtId="58" fontId="3" fillId="0" borderId="0" xfId="0" applyNumberFormat="1" applyFo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9" fontId="2" fillId="0" borderId="2" xfId="0" applyNumberFormat="1" applyFont="1" applyBorder="1" applyAlignment="1">
      <alignment horizontal="center" vertical="center"/>
    </xf>
    <xf numFmtId="178" fontId="1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3" fontId="3" fillId="0" borderId="0" xfId="0" applyNumberFormat="1" applyFont="1">
      <alignment vertical="center"/>
    </xf>
    <xf numFmtId="10" fontId="3" fillId="0" borderId="1" xfId="0" applyNumberFormat="1" applyFont="1" applyBorder="1" applyAlignment="1">
      <alignment horizontal="center" vertical="center"/>
    </xf>
    <xf numFmtId="9" fontId="3" fillId="0" borderId="2" xfId="0" applyNumberFormat="1" applyFont="1" applyBorder="1" applyAlignment="1">
      <alignment horizontal="center" vertical="center"/>
    </xf>
    <xf numFmtId="10" fontId="3" fillId="0" borderId="4" xfId="0" applyNumberFormat="1" applyFont="1" applyBorder="1" applyAlignment="1">
      <alignment horizontal="center" vertical="center"/>
    </xf>
    <xf numFmtId="10" fontId="3" fillId="0" borderId="2" xfId="0" applyNumberFormat="1" applyFont="1" applyBorder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9" fontId="12" fillId="0" borderId="4" xfId="0" applyNumberFormat="1" applyFont="1" applyBorder="1" applyAlignment="1">
      <alignment horizontal="center" vertical="center"/>
    </xf>
    <xf numFmtId="179" fontId="12" fillId="0" borderId="2" xfId="0" applyNumberFormat="1" applyFont="1" applyBorder="1" applyAlignment="1">
      <alignment horizontal="center" vertical="center"/>
    </xf>
    <xf numFmtId="179" fontId="13" fillId="0" borderId="2" xfId="0" applyNumberFormat="1" applyFont="1" applyBorder="1" applyAlignment="1">
      <alignment horizontal="center" vertical="center"/>
    </xf>
    <xf numFmtId="179" fontId="2" fillId="0" borderId="4" xfId="0" applyNumberFormat="1" applyFont="1" applyBorder="1" applyAlignment="1">
      <alignment horizontal="center" vertical="center"/>
    </xf>
    <xf numFmtId="9" fontId="2" fillId="0" borderId="4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3" fontId="2" fillId="0" borderId="4" xfId="0" applyNumberFormat="1" applyFont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179" fontId="2" fillId="0" borderId="3" xfId="0" applyNumberFormat="1" applyFont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9" fontId="3" fillId="0" borderId="0" xfId="0" applyNumberFormat="1" applyFont="1">
      <alignment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6" fillId="11" borderId="5" xfId="0" applyFont="1" applyFill="1" applyBorder="1" applyAlignment="1">
      <alignment horizontal="center" vertical="center"/>
    </xf>
    <xf numFmtId="58" fontId="6" fillId="11" borderId="6" xfId="0" applyNumberFormat="1" applyFont="1" applyFill="1" applyBorder="1" applyAlignment="1">
      <alignment horizontal="center" vertical="center"/>
    </xf>
    <xf numFmtId="58" fontId="3" fillId="11" borderId="6" xfId="0" applyNumberFormat="1" applyFont="1" applyFill="1" applyBorder="1" applyAlignment="1">
      <alignment horizontal="center" vertical="center"/>
    </xf>
    <xf numFmtId="3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11" borderId="2" xfId="0" applyFont="1" applyFill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9" fontId="15" fillId="0" borderId="0" xfId="0" applyNumberFormat="1" applyFont="1" applyAlignment="1">
      <alignment horizontal="center" vertical="center"/>
    </xf>
    <xf numFmtId="0" fontId="4" fillId="0" borderId="2" xfId="0" applyFont="1" applyBorder="1">
      <alignment vertical="center"/>
    </xf>
    <xf numFmtId="0" fontId="16" fillId="0" borderId="2" xfId="0" applyFont="1" applyBorder="1">
      <alignment vertical="center"/>
    </xf>
    <xf numFmtId="10" fontId="1" fillId="0" borderId="2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  <xf numFmtId="9" fontId="14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9" fontId="1" fillId="0" borderId="2" xfId="0" applyNumberFormat="1" applyFont="1" applyBorder="1" applyAlignment="1">
      <alignment horizontal="center" vertical="center"/>
    </xf>
    <xf numFmtId="9" fontId="4" fillId="0" borderId="2" xfId="0" applyNumberFormat="1" applyFont="1" applyBorder="1">
      <alignment vertical="center"/>
    </xf>
    <xf numFmtId="9" fontId="16" fillId="0" borderId="2" xfId="0" applyNumberFormat="1" applyFont="1" applyBorder="1">
      <alignment vertical="center"/>
    </xf>
    <xf numFmtId="9" fontId="14" fillId="11" borderId="2" xfId="0" applyNumberFormat="1" applyFont="1" applyFill="1" applyBorder="1" applyAlignment="1">
      <alignment horizontal="center" vertical="center"/>
    </xf>
    <xf numFmtId="9" fontId="14" fillId="11" borderId="6" xfId="0" applyNumberFormat="1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16" fillId="0" borderId="1" xfId="0" applyFont="1" applyBorder="1">
      <alignment vertical="center"/>
    </xf>
    <xf numFmtId="10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  <xf numFmtId="9" fontId="4" fillId="0" borderId="6" xfId="0" applyNumberFormat="1" applyFont="1" applyBorder="1">
      <alignment vertical="center"/>
    </xf>
    <xf numFmtId="9" fontId="16" fillId="0" borderId="7" xfId="0" applyNumberFormat="1" applyFont="1" applyBorder="1">
      <alignment vertical="center"/>
    </xf>
    <xf numFmtId="9" fontId="3" fillId="0" borderId="4" xfId="0" applyNumberFormat="1" applyFont="1" applyBorder="1" applyAlignment="1">
      <alignment horizontal="center" vertical="center"/>
    </xf>
    <xf numFmtId="3" fontId="14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8" fillId="12" borderId="2" xfId="0" applyFont="1" applyFill="1" applyBorder="1" applyAlignment="1">
      <alignment horizontal="center" vertical="center" wrapText="1"/>
    </xf>
    <xf numFmtId="0" fontId="13" fillId="13" borderId="2" xfId="0" applyFont="1" applyFill="1" applyBorder="1" applyAlignment="1">
      <alignment horizontal="center" vertical="center" wrapText="1"/>
    </xf>
    <xf numFmtId="0" fontId="13" fillId="13" borderId="8" xfId="0" applyFont="1" applyFill="1" applyBorder="1" applyAlignment="1">
      <alignment horizontal="center" vertical="center"/>
    </xf>
    <xf numFmtId="179" fontId="13" fillId="13" borderId="4" xfId="0" applyNumberFormat="1" applyFont="1" applyFill="1" applyBorder="1" applyAlignment="1">
      <alignment horizontal="center" vertical="center"/>
    </xf>
    <xf numFmtId="179" fontId="13" fillId="13" borderId="2" xfId="0" applyNumberFormat="1" applyFont="1" applyFill="1" applyBorder="1" applyAlignment="1">
      <alignment horizontal="center" vertical="center"/>
    </xf>
    <xf numFmtId="9" fontId="14" fillId="0" borderId="0" xfId="0" applyNumberFormat="1" applyFont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13" fillId="0" borderId="2" xfId="0" applyFont="1" applyBorder="1" applyAlignment="1">
      <alignment horizontal="center" vertical="center"/>
    </xf>
    <xf numFmtId="0" fontId="13" fillId="13" borderId="2" xfId="0" applyFont="1" applyFill="1" applyBorder="1" applyAlignment="1">
      <alignment horizontal="center" vertical="center"/>
    </xf>
    <xf numFmtId="9" fontId="13" fillId="13" borderId="4" xfId="0" applyNumberFormat="1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9" fontId="3" fillId="0" borderId="5" xfId="0" applyNumberFormat="1" applyFont="1" applyBorder="1" applyAlignment="1">
      <alignment horizontal="center" vertical="center"/>
    </xf>
    <xf numFmtId="9" fontId="3" fillId="0" borderId="6" xfId="0" applyNumberFormat="1" applyFont="1" applyBorder="1" applyAlignment="1">
      <alignment horizontal="center" vertical="center"/>
    </xf>
    <xf numFmtId="0" fontId="13" fillId="13" borderId="4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9" fontId="3" fillId="0" borderId="10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12" borderId="2" xfId="0" applyFont="1" applyFill="1" applyBorder="1" applyAlignment="1">
      <alignment horizontal="center" vertical="center" wrapText="1"/>
    </xf>
    <xf numFmtId="179" fontId="13" fillId="0" borderId="4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>
      <alignment vertical="center"/>
    </xf>
    <xf numFmtId="0" fontId="3" fillId="14" borderId="2" xfId="0" applyFont="1" applyFill="1" applyBorder="1" applyAlignment="1">
      <alignment horizontal="center" vertical="center"/>
    </xf>
    <xf numFmtId="0" fontId="13" fillId="14" borderId="2" xfId="0" applyFont="1" applyFill="1" applyBorder="1" applyAlignment="1">
      <alignment horizontal="center" vertical="center" wrapText="1"/>
    </xf>
    <xf numFmtId="0" fontId="13" fillId="13" borderId="10" xfId="0" applyFont="1" applyFill="1" applyBorder="1" applyAlignment="1">
      <alignment horizontal="center" vertical="center"/>
    </xf>
    <xf numFmtId="179" fontId="13" fillId="13" borderId="5" xfId="0" applyNumberFormat="1" applyFont="1" applyFill="1" applyBorder="1" applyAlignment="1">
      <alignment horizontal="center" vertical="center"/>
    </xf>
    <xf numFmtId="58" fontId="3" fillId="0" borderId="0" xfId="0" applyNumberFormat="1" applyFont="1" applyAlignment="1">
      <alignment horizontal="center" vertical="center"/>
    </xf>
    <xf numFmtId="0" fontId="3" fillId="14" borderId="1" xfId="0" applyFont="1" applyFill="1" applyBorder="1">
      <alignment vertical="center"/>
    </xf>
    <xf numFmtId="0" fontId="13" fillId="12" borderId="2" xfId="0" applyFont="1" applyFill="1" applyBorder="1" applyAlignment="1">
      <alignment horizontal="center" vertical="center"/>
    </xf>
    <xf numFmtId="179" fontId="13" fillId="12" borderId="2" xfId="0" applyNumberFormat="1" applyFont="1" applyFill="1" applyBorder="1" applyAlignment="1">
      <alignment horizontal="center" vertical="center"/>
    </xf>
    <xf numFmtId="179" fontId="13" fillId="12" borderId="4" xfId="0" applyNumberFormat="1" applyFont="1" applyFill="1" applyBorder="1" applyAlignment="1">
      <alignment horizontal="center" vertical="center"/>
    </xf>
    <xf numFmtId="9" fontId="13" fillId="13" borderId="2" xfId="0" applyNumberFormat="1" applyFont="1" applyFill="1" applyBorder="1" applyAlignment="1">
      <alignment horizontal="center" vertical="center"/>
    </xf>
    <xf numFmtId="9" fontId="13" fillId="13" borderId="5" xfId="0" applyNumberFormat="1" applyFont="1" applyFill="1" applyBorder="1" applyAlignment="1">
      <alignment horizontal="center" vertical="center"/>
    </xf>
    <xf numFmtId="3" fontId="20" fillId="12" borderId="4" xfId="0" applyNumberFormat="1" applyFont="1" applyFill="1" applyBorder="1" applyAlignment="1">
      <alignment horizontal="center" vertical="center"/>
    </xf>
    <xf numFmtId="3" fontId="20" fillId="12" borderId="2" xfId="0" applyNumberFormat="1" applyFont="1" applyFill="1" applyBorder="1" applyAlignment="1">
      <alignment horizontal="center" vertical="center"/>
    </xf>
    <xf numFmtId="9" fontId="13" fillId="12" borderId="2" xfId="0" applyNumberFormat="1" applyFont="1" applyFill="1" applyBorder="1" applyAlignment="1">
      <alignment horizontal="center" vertical="center"/>
    </xf>
    <xf numFmtId="1" fontId="20" fillId="12" borderId="4" xfId="0" applyNumberFormat="1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9" fontId="3" fillId="0" borderId="12" xfId="0" applyNumberFormat="1" applyFont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 wrapText="1"/>
    </xf>
    <xf numFmtId="0" fontId="3" fillId="14" borderId="2" xfId="0" applyFont="1" applyFill="1" applyBorder="1">
      <alignment vertical="center"/>
    </xf>
    <xf numFmtId="0" fontId="1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79" fontId="20" fillId="13" borderId="2" xfId="0" applyNumberFormat="1" applyFont="1" applyFill="1" applyBorder="1" applyAlignment="1">
      <alignment horizontal="center" vertical="center"/>
    </xf>
    <xf numFmtId="9" fontId="20" fillId="13" borderId="4" xfId="0" applyNumberFormat="1" applyFont="1" applyFill="1" applyBorder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9" fillId="12" borderId="2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/>
    </xf>
    <xf numFmtId="0" fontId="19" fillId="12" borderId="7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58" fontId="19" fillId="12" borderId="4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9" fontId="24" fillId="12" borderId="1" xfId="0" applyNumberFormat="1" applyFont="1" applyFill="1" applyBorder="1" applyAlignment="1">
      <alignment horizontal="center" vertical="center"/>
    </xf>
    <xf numFmtId="9" fontId="24" fillId="12" borderId="2" xfId="0" applyNumberFormat="1" applyFont="1" applyFill="1" applyBorder="1" applyAlignment="1">
      <alignment horizontal="center" vertical="center"/>
    </xf>
    <xf numFmtId="0" fontId="13" fillId="12" borderId="0" xfId="0" applyFont="1" applyFill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49" fontId="18" fillId="0" borderId="8" xfId="0" applyNumberFormat="1" applyFont="1" applyBorder="1" applyAlignment="1">
      <alignment horizontal="center" vertical="center"/>
    </xf>
    <xf numFmtId="49" fontId="18" fillId="0" borderId="2" xfId="0" applyNumberFormat="1" applyFont="1" applyBorder="1" applyAlignment="1">
      <alignment horizontal="center" vertical="center"/>
    </xf>
    <xf numFmtId="49" fontId="18" fillId="0" borderId="11" xfId="0" applyNumberFormat="1" applyFont="1" applyBorder="1" applyAlignment="1">
      <alignment horizontal="center" vertical="center"/>
    </xf>
    <xf numFmtId="49" fontId="25" fillId="0" borderId="8" xfId="0" applyNumberFormat="1" applyFont="1" applyBorder="1" applyAlignment="1">
      <alignment horizontal="center" vertical="center"/>
    </xf>
    <xf numFmtId="0" fontId="26" fillId="0" borderId="1" xfId="0" applyFont="1" applyBorder="1">
      <alignment vertical="center"/>
    </xf>
    <xf numFmtId="0" fontId="26" fillId="0" borderId="2" xfId="0" applyFont="1" applyBorder="1">
      <alignment vertical="center"/>
    </xf>
    <xf numFmtId="9" fontId="18" fillId="0" borderId="2" xfId="0" applyNumberFormat="1" applyFont="1" applyBorder="1" applyAlignment="1">
      <alignment horizontal="center" vertical="center"/>
    </xf>
    <xf numFmtId="9" fontId="25" fillId="0" borderId="2" xfId="0" applyNumberFormat="1" applyFont="1" applyBorder="1" applyAlignment="1">
      <alignment horizontal="center" vertical="center"/>
    </xf>
    <xf numFmtId="9" fontId="3" fillId="12" borderId="1" xfId="0" applyNumberFormat="1" applyFont="1" applyFill="1" applyBorder="1" applyAlignment="1">
      <alignment horizontal="center" vertical="center"/>
    </xf>
    <xf numFmtId="9" fontId="26" fillId="0" borderId="1" xfId="0" applyNumberFormat="1" applyFont="1" applyBorder="1">
      <alignment vertical="center"/>
    </xf>
    <xf numFmtId="9" fontId="26" fillId="0" borderId="2" xfId="0" applyNumberFormat="1" applyFont="1" applyBorder="1">
      <alignment vertical="center"/>
    </xf>
    <xf numFmtId="9" fontId="3" fillId="0" borderId="13" xfId="0" applyNumberFormat="1" applyFont="1" applyBorder="1">
      <alignment vertical="center"/>
    </xf>
    <xf numFmtId="49" fontId="25" fillId="0" borderId="2" xfId="0" applyNumberFormat="1" applyFont="1" applyBorder="1" applyAlignment="1">
      <alignment horizontal="center" vertical="center"/>
    </xf>
    <xf numFmtId="9" fontId="26" fillId="0" borderId="7" xfId="0" applyNumberFormat="1" applyFont="1" applyBorder="1">
      <alignment vertical="center"/>
    </xf>
    <xf numFmtId="9" fontId="26" fillId="0" borderId="6" xfId="0" applyNumberFormat="1" applyFont="1" applyBorder="1">
      <alignment vertical="center"/>
    </xf>
    <xf numFmtId="0" fontId="3" fillId="0" borderId="13" xfId="0" applyFont="1" applyBorder="1">
      <alignment vertical="center"/>
    </xf>
    <xf numFmtId="0" fontId="26" fillId="0" borderId="6" xfId="0" applyFont="1" applyBorder="1">
      <alignment vertical="center"/>
    </xf>
    <xf numFmtId="9" fontId="24" fillId="12" borderId="9" xfId="0" applyNumberFormat="1" applyFont="1" applyFill="1" applyBorder="1" applyAlignment="1">
      <alignment horizontal="center" vertical="center"/>
    </xf>
    <xf numFmtId="0" fontId="26" fillId="0" borderId="9" xfId="0" applyFont="1" applyBorder="1">
      <alignment vertical="center"/>
    </xf>
    <xf numFmtId="9" fontId="26" fillId="0" borderId="9" xfId="0" applyNumberFormat="1" applyFont="1" applyBorder="1">
      <alignment vertical="center"/>
    </xf>
    <xf numFmtId="9" fontId="13" fillId="12" borderId="6" xfId="0" applyNumberFormat="1" applyFont="1" applyFill="1" applyBorder="1" applyAlignment="1">
      <alignment horizontal="center" vertical="center"/>
    </xf>
    <xf numFmtId="49" fontId="18" fillId="0" borderId="10" xfId="0" applyNumberFormat="1" applyFont="1" applyBorder="1" applyAlignment="1">
      <alignment horizontal="center" vertical="center"/>
    </xf>
    <xf numFmtId="49" fontId="18" fillId="0" borderId="6" xfId="0" applyNumberFormat="1" applyFont="1" applyBorder="1" applyAlignment="1">
      <alignment horizontal="center" vertical="center"/>
    </xf>
    <xf numFmtId="49" fontId="25" fillId="0" borderId="6" xfId="0" applyNumberFormat="1" applyFont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49" fontId="18" fillId="0" borderId="4" xfId="0" applyNumberFormat="1" applyFont="1" applyBorder="1" applyAlignment="1">
      <alignment horizontal="center" vertical="center"/>
    </xf>
    <xf numFmtId="9" fontId="26" fillId="0" borderId="14" xfId="0" applyNumberFormat="1" applyFont="1" applyBorder="1">
      <alignment vertical="center"/>
    </xf>
    <xf numFmtId="9" fontId="3" fillId="0" borderId="2" xfId="0" applyNumberFormat="1" applyFont="1" applyBorder="1">
      <alignment vertical="center"/>
    </xf>
    <xf numFmtId="9" fontId="18" fillId="0" borderId="8" xfId="0" applyNumberFormat="1" applyFont="1" applyBorder="1" applyAlignment="1">
      <alignment horizontal="center" vertical="center"/>
    </xf>
    <xf numFmtId="0" fontId="13" fillId="12" borderId="11" xfId="0" applyFont="1" applyFill="1" applyBorder="1" applyAlignment="1">
      <alignment horizontal="center" vertical="center"/>
    </xf>
    <xf numFmtId="0" fontId="3" fillId="0" borderId="4" xfId="0" applyFont="1" applyBorder="1">
      <alignment vertical="center"/>
    </xf>
    <xf numFmtId="9" fontId="3" fillId="0" borderId="4" xfId="0" applyNumberFormat="1" applyFont="1" applyBorder="1">
      <alignment vertical="center"/>
    </xf>
    <xf numFmtId="0" fontId="13" fillId="12" borderId="4" xfId="0" applyFont="1" applyFill="1" applyBorder="1" applyAlignment="1">
      <alignment horizontal="center" vertical="center"/>
    </xf>
    <xf numFmtId="9" fontId="27" fillId="12" borderId="2" xfId="0" applyNumberFormat="1" applyFont="1" applyFill="1" applyBorder="1" applyAlignment="1">
      <alignment horizontal="center" vertical="center"/>
    </xf>
    <xf numFmtId="0" fontId="28" fillId="0" borderId="2" xfId="0" applyFont="1" applyBorder="1">
      <alignment vertical="center"/>
    </xf>
    <xf numFmtId="9" fontId="28" fillId="0" borderId="2" xfId="0" applyNumberFormat="1" applyFont="1" applyBorder="1">
      <alignment vertical="center"/>
    </xf>
    <xf numFmtId="176" fontId="19" fillId="14" borderId="2" xfId="0" applyNumberFormat="1" applyFont="1" applyFill="1" applyBorder="1" applyAlignment="1">
      <alignment horizontal="center" vertical="center"/>
    </xf>
    <xf numFmtId="176" fontId="29" fillId="14" borderId="6" xfId="0" applyNumberFormat="1" applyFont="1" applyFill="1" applyBorder="1" applyAlignment="1">
      <alignment horizontal="center" vertical="center"/>
    </xf>
    <xf numFmtId="176" fontId="29" fillId="14" borderId="7" xfId="0" applyNumberFormat="1" applyFont="1" applyFill="1" applyBorder="1" applyAlignment="1">
      <alignment horizontal="center" vertical="center"/>
    </xf>
    <xf numFmtId="176" fontId="29" fillId="14" borderId="6" xfId="0" applyNumberFormat="1" applyFont="1" applyFill="1" applyBorder="1" applyAlignment="1">
      <alignment horizontal="center" vertical="center" wrapText="1"/>
    </xf>
    <xf numFmtId="176" fontId="19" fillId="14" borderId="6" xfId="0" applyNumberFormat="1" applyFont="1" applyFill="1" applyBorder="1" applyAlignment="1">
      <alignment horizontal="center" vertical="center"/>
    </xf>
    <xf numFmtId="176" fontId="18" fillId="14" borderId="2" xfId="0" applyNumberFormat="1" applyFont="1" applyFill="1" applyBorder="1" applyAlignment="1">
      <alignment horizontal="center" vertical="center"/>
    </xf>
    <xf numFmtId="176" fontId="18" fillId="14" borderId="4" xfId="0" applyNumberFormat="1" applyFont="1" applyFill="1" applyBorder="1" applyAlignment="1">
      <alignment horizontal="center" vertical="center"/>
    </xf>
    <xf numFmtId="176" fontId="25" fillId="14" borderId="4" xfId="0" applyNumberFormat="1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9" fontId="30" fillId="14" borderId="1" xfId="0" applyNumberFormat="1" applyFont="1" applyFill="1" applyBorder="1" applyAlignment="1">
      <alignment horizontal="center" vertical="center"/>
    </xf>
    <xf numFmtId="0" fontId="31" fillId="14" borderId="2" xfId="0" applyFont="1" applyFill="1" applyBorder="1" applyAlignment="1">
      <alignment horizontal="center" vertical="center"/>
    </xf>
    <xf numFmtId="0" fontId="12" fillId="14" borderId="13" xfId="0" applyFont="1" applyFill="1" applyBorder="1" applyAlignment="1">
      <alignment horizontal="center" vertical="center"/>
    </xf>
    <xf numFmtId="0" fontId="26" fillId="14" borderId="1" xfId="0" applyFont="1" applyFill="1" applyBorder="1">
      <alignment vertical="center"/>
    </xf>
    <xf numFmtId="0" fontId="26" fillId="14" borderId="2" xfId="0" applyFont="1" applyFill="1" applyBorder="1">
      <alignment vertical="center"/>
    </xf>
    <xf numFmtId="0" fontId="32" fillId="14" borderId="0" xfId="0" applyFont="1" applyFill="1">
      <alignment vertical="center"/>
    </xf>
    <xf numFmtId="0" fontId="12" fillId="14" borderId="3" xfId="0" applyFont="1" applyFill="1" applyBorder="1" applyAlignment="1">
      <alignment horizontal="center" vertical="center"/>
    </xf>
    <xf numFmtId="3" fontId="7" fillId="14" borderId="1" xfId="0" applyNumberFormat="1" applyFont="1" applyFill="1" applyBorder="1" applyAlignment="1">
      <alignment horizontal="center" vertical="center"/>
    </xf>
    <xf numFmtId="3" fontId="26" fillId="14" borderId="1" xfId="0" applyNumberFormat="1" applyFont="1" applyFill="1" applyBorder="1">
      <alignment vertical="center"/>
    </xf>
    <xf numFmtId="3" fontId="26" fillId="14" borderId="2" xfId="0" applyNumberFormat="1" applyFont="1" applyFill="1" applyBorder="1">
      <alignment vertical="center"/>
    </xf>
    <xf numFmtId="3" fontId="32" fillId="14" borderId="0" xfId="0" applyNumberFormat="1" applyFont="1" applyFill="1">
      <alignment vertical="center"/>
    </xf>
    <xf numFmtId="3" fontId="12" fillId="14" borderId="2" xfId="0" applyNumberFormat="1" applyFont="1" applyFill="1" applyBorder="1" applyAlignment="1">
      <alignment horizontal="center" vertical="center"/>
    </xf>
    <xf numFmtId="3" fontId="18" fillId="0" borderId="8" xfId="0" applyNumberFormat="1" applyFont="1" applyBorder="1" applyAlignment="1">
      <alignment horizontal="center" vertical="center"/>
    </xf>
    <xf numFmtId="9" fontId="7" fillId="14" borderId="1" xfId="0" applyNumberFormat="1" applyFont="1" applyFill="1" applyBorder="1" applyAlignment="1">
      <alignment horizontal="center" vertical="center"/>
    </xf>
    <xf numFmtId="9" fontId="26" fillId="14" borderId="1" xfId="0" applyNumberFormat="1" applyFont="1" applyFill="1" applyBorder="1">
      <alignment vertical="center"/>
    </xf>
    <xf numFmtId="9" fontId="26" fillId="14" borderId="2" xfId="0" applyNumberFormat="1" applyFont="1" applyFill="1" applyBorder="1">
      <alignment vertical="center"/>
    </xf>
    <xf numFmtId="9" fontId="32" fillId="14" borderId="0" xfId="0" applyNumberFormat="1" applyFont="1" applyFill="1">
      <alignment vertical="center"/>
    </xf>
    <xf numFmtId="9" fontId="12" fillId="14" borderId="2" xfId="0" applyNumberFormat="1" applyFont="1" applyFill="1" applyBorder="1" applyAlignment="1">
      <alignment horizontal="center" vertical="center"/>
    </xf>
    <xf numFmtId="9" fontId="32" fillId="14" borderId="13" xfId="0" applyNumberFormat="1" applyFont="1" applyFill="1" applyBorder="1">
      <alignment vertical="center"/>
    </xf>
    <xf numFmtId="0" fontId="12" fillId="14" borderId="2" xfId="0" applyFont="1" applyFill="1" applyBorder="1" applyAlignment="1">
      <alignment horizontal="center" vertical="center"/>
    </xf>
    <xf numFmtId="3" fontId="25" fillId="0" borderId="2" xfId="0" applyNumberFormat="1" applyFont="1" applyBorder="1" applyAlignment="1">
      <alignment horizontal="center" vertical="center"/>
    </xf>
    <xf numFmtId="9" fontId="26" fillId="14" borderId="7" xfId="0" applyNumberFormat="1" applyFont="1" applyFill="1" applyBorder="1">
      <alignment vertical="center"/>
    </xf>
    <xf numFmtId="9" fontId="26" fillId="14" borderId="6" xfId="0" applyNumberFormat="1" applyFont="1" applyFill="1" applyBorder="1">
      <alignment vertical="center"/>
    </xf>
    <xf numFmtId="0" fontId="32" fillId="14" borderId="13" xfId="0" applyFont="1" applyFill="1" applyBorder="1">
      <alignment vertical="center"/>
    </xf>
    <xf numFmtId="0" fontId="26" fillId="14" borderId="7" xfId="0" applyFont="1" applyFill="1" applyBorder="1">
      <alignment vertical="center"/>
    </xf>
    <xf numFmtId="3" fontId="25" fillId="0" borderId="8" xfId="0" applyNumberFormat="1" applyFont="1" applyBorder="1" applyAlignment="1">
      <alignment horizontal="center" vertical="center"/>
    </xf>
    <xf numFmtId="9" fontId="30" fillId="14" borderId="2" xfId="0" applyNumberFormat="1" applyFont="1" applyFill="1" applyBorder="1" applyAlignment="1">
      <alignment horizontal="center" vertical="center"/>
    </xf>
    <xf numFmtId="49" fontId="25" fillId="0" borderId="4" xfId="0" applyNumberFormat="1" applyFont="1" applyBorder="1" applyAlignment="1">
      <alignment horizontal="center" vertical="center"/>
    </xf>
    <xf numFmtId="9" fontId="12" fillId="14" borderId="1" xfId="0" applyNumberFormat="1" applyFont="1" applyFill="1" applyBorder="1" applyAlignment="1">
      <alignment horizontal="center" vertical="center"/>
    </xf>
    <xf numFmtId="9" fontId="27" fillId="14" borderId="2" xfId="0" applyNumberFormat="1" applyFont="1" applyFill="1" applyBorder="1" applyAlignment="1">
      <alignment horizontal="center" vertical="center"/>
    </xf>
    <xf numFmtId="0" fontId="33" fillId="0" borderId="8" xfId="0" applyFont="1" applyBorder="1">
      <alignment vertical="center"/>
    </xf>
    <xf numFmtId="0" fontId="31" fillId="14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0" fontId="33" fillId="0" borderId="2" xfId="0" applyFont="1" applyBorder="1">
      <alignment vertical="center"/>
    </xf>
    <xf numFmtId="9" fontId="33" fillId="0" borderId="2" xfId="0" applyNumberFormat="1" applyFont="1" applyBorder="1">
      <alignment vertical="center"/>
    </xf>
    <xf numFmtId="3" fontId="8" fillId="0" borderId="0" xfId="0" applyNumberFormat="1" applyFont="1" applyAlignment="1">
      <alignment horizontal="center" vertical="center"/>
    </xf>
    <xf numFmtId="0" fontId="26" fillId="0" borderId="0" xfId="0" applyFont="1">
      <alignment vertical="center"/>
    </xf>
    <xf numFmtId="0" fontId="26" fillId="0" borderId="0" xfId="0" applyFont="1" applyAlignment="1">
      <alignment horizontal="center" vertical="center"/>
    </xf>
    <xf numFmtId="0" fontId="30" fillId="11" borderId="2" xfId="0" applyFont="1" applyFill="1" applyBorder="1" applyAlignment="1">
      <alignment horizontal="center" vertical="center"/>
    </xf>
    <xf numFmtId="0" fontId="30" fillId="11" borderId="1" xfId="0" applyFont="1" applyFill="1" applyBorder="1" applyAlignment="1">
      <alignment horizontal="center" vertical="center" wrapText="1"/>
    </xf>
    <xf numFmtId="0" fontId="31" fillId="11" borderId="6" xfId="0" applyFont="1" applyFill="1" applyBorder="1" applyAlignment="1">
      <alignment horizontal="center" vertical="center"/>
    </xf>
    <xf numFmtId="58" fontId="31" fillId="11" borderId="2" xfId="0" applyNumberFormat="1" applyFont="1" applyFill="1" applyBorder="1" applyAlignment="1">
      <alignment horizontal="center" vertical="center"/>
    </xf>
    <xf numFmtId="0" fontId="30" fillId="15" borderId="2" xfId="0" applyFont="1" applyFill="1" applyBorder="1" applyAlignment="1">
      <alignment horizontal="center" vertical="center"/>
    </xf>
    <xf numFmtId="9" fontId="30" fillId="15" borderId="2" xfId="0" applyNumberFormat="1" applyFont="1" applyFill="1" applyBorder="1" applyAlignment="1">
      <alignment horizontal="center" vertical="center"/>
    </xf>
    <xf numFmtId="0" fontId="30" fillId="15" borderId="1" xfId="0" applyFont="1" applyFill="1" applyBorder="1" applyAlignment="1">
      <alignment horizontal="center" vertical="center" wrapText="1"/>
    </xf>
    <xf numFmtId="0" fontId="12" fillId="11" borderId="2" xfId="0" applyFont="1" applyFill="1" applyBorder="1" applyAlignment="1">
      <alignment horizontal="center" vertical="center"/>
    </xf>
    <xf numFmtId="9" fontId="26" fillId="0" borderId="0" xfId="0" applyNumberFormat="1" applyFont="1">
      <alignment vertical="center"/>
    </xf>
    <xf numFmtId="0" fontId="34" fillId="0" borderId="0" xfId="0" applyFont="1" applyAlignment="1">
      <alignment vertical="center" wrapText="1"/>
    </xf>
    <xf numFmtId="0" fontId="30" fillId="15" borderId="3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/>
    </xf>
    <xf numFmtId="0" fontId="35" fillId="0" borderId="0" xfId="0" applyFont="1" applyAlignment="1"/>
    <xf numFmtId="0" fontId="36" fillId="16" borderId="2" xfId="0" applyFont="1" applyFill="1" applyBorder="1" applyAlignment="1">
      <alignment horizontal="center" vertical="center"/>
    </xf>
    <xf numFmtId="0" fontId="37" fillId="17" borderId="2" xfId="0" applyFont="1" applyFill="1" applyBorder="1" applyAlignment="1">
      <alignment horizontal="center" vertical="center"/>
    </xf>
    <xf numFmtId="0" fontId="37" fillId="18" borderId="2" xfId="0" applyFont="1" applyFill="1" applyBorder="1" applyAlignment="1">
      <alignment horizontal="center" vertical="center" wrapText="1"/>
    </xf>
    <xf numFmtId="0" fontId="38" fillId="18" borderId="2" xfId="0" applyFont="1" applyFill="1" applyBorder="1" applyAlignment="1">
      <alignment horizontal="center" vertical="center" wrapText="1"/>
    </xf>
    <xf numFmtId="0" fontId="37" fillId="18" borderId="2" xfId="0" applyFont="1" applyFill="1" applyBorder="1" applyAlignment="1">
      <alignment horizontal="center" vertical="center"/>
    </xf>
    <xf numFmtId="0" fontId="39" fillId="7" borderId="2" xfId="0" applyFont="1" applyFill="1" applyBorder="1" applyAlignment="1">
      <alignment horizontal="center" vertical="center" wrapText="1"/>
    </xf>
    <xf numFmtId="0" fontId="39" fillId="6" borderId="1" xfId="0" applyFont="1" applyFill="1" applyBorder="1" applyAlignment="1">
      <alignment horizontal="center" vertical="center" wrapText="1"/>
    </xf>
    <xf numFmtId="0" fontId="39" fillId="6" borderId="9" xfId="0" applyFont="1" applyFill="1" applyBorder="1" applyAlignment="1">
      <alignment horizontal="center" vertical="center" wrapText="1"/>
    </xf>
    <xf numFmtId="0" fontId="39" fillId="6" borderId="4" xfId="0" applyFont="1" applyFill="1" applyBorder="1" applyAlignment="1">
      <alignment horizontal="center" vertical="center" wrapText="1"/>
    </xf>
    <xf numFmtId="0" fontId="39" fillId="10" borderId="1" xfId="0" applyFont="1" applyFill="1" applyBorder="1" applyAlignment="1">
      <alignment horizontal="center" vertical="center" wrapText="1"/>
    </xf>
    <xf numFmtId="0" fontId="39" fillId="10" borderId="9" xfId="0" applyFont="1" applyFill="1" applyBorder="1" applyAlignment="1">
      <alignment horizontal="center" vertical="center" wrapText="1"/>
    </xf>
    <xf numFmtId="0" fontId="39" fillId="10" borderId="4" xfId="0" applyFont="1" applyFill="1" applyBorder="1" applyAlignment="1">
      <alignment horizontal="center" vertical="center" wrapText="1"/>
    </xf>
    <xf numFmtId="0" fontId="39" fillId="5" borderId="1" xfId="0" applyFont="1" applyFill="1" applyBorder="1" applyAlignment="1">
      <alignment horizontal="center" vertical="center" wrapText="1"/>
    </xf>
    <xf numFmtId="0" fontId="39" fillId="5" borderId="9" xfId="0" applyFont="1" applyFill="1" applyBorder="1" applyAlignment="1">
      <alignment horizontal="center" vertical="center" wrapText="1"/>
    </xf>
    <xf numFmtId="0" fontId="39" fillId="5" borderId="4" xfId="0" applyFont="1" applyFill="1" applyBorder="1" applyAlignment="1">
      <alignment horizontal="center" vertical="center" wrapText="1"/>
    </xf>
    <xf numFmtId="0" fontId="39" fillId="19" borderId="2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 wrapText="1"/>
    </xf>
    <xf numFmtId="0" fontId="39" fillId="4" borderId="9" xfId="0" applyFont="1" applyFill="1" applyBorder="1" applyAlignment="1">
      <alignment horizontal="center" vertical="center"/>
    </xf>
    <xf numFmtId="0" fontId="39" fillId="4" borderId="4" xfId="0" applyFont="1" applyFill="1" applyBorder="1" applyAlignment="1">
      <alignment horizontal="center" vertical="center"/>
    </xf>
    <xf numFmtId="0" fontId="36" fillId="16" borderId="8" xfId="0" applyFont="1" applyFill="1" applyBorder="1" applyAlignment="1">
      <alignment horizontal="center" vertical="center"/>
    </xf>
    <xf numFmtId="0" fontId="40" fillId="0" borderId="1" xfId="0" applyFont="1" applyBorder="1" applyAlignment="1">
      <alignment horizontal="center" wrapText="1"/>
    </xf>
    <xf numFmtId="0" fontId="40" fillId="0" borderId="9" xfId="0" applyFont="1" applyBorder="1" applyAlignment="1">
      <alignment horizontal="center" wrapText="1"/>
    </xf>
    <xf numFmtId="0" fontId="40" fillId="0" borderId="4" xfId="0" applyFont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G6"/>
  <sheetViews>
    <sheetView zoomScale="92" zoomScaleNormal="92" workbookViewId="0">
      <selection activeCell="A1" sqref="A1:B1"/>
    </sheetView>
  </sheetViews>
  <sheetFormatPr defaultColWidth="8.81818181818182" defaultRowHeight="13.8" customHeight="1" outlineLevelRow="5"/>
  <cols>
    <col min="1" max="1" width="8.81818181818182" style="265" customWidth="1"/>
    <col min="2" max="2" width="21.4545454545455" style="265" customWidth="1"/>
    <col min="3" max="40" width="8.63636363636364" style="265"/>
  </cols>
  <sheetData>
    <row r="1" customHeight="1" spans="1:33">
      <c r="A1" s="266" t="s">
        <v>0</v>
      </c>
      <c r="B1" s="266"/>
      <c r="C1" s="267" t="s">
        <v>1</v>
      </c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  <c r="Q1" s="267"/>
      <c r="R1" s="267"/>
      <c r="S1" s="267"/>
      <c r="T1" s="267"/>
      <c r="U1" s="267"/>
      <c r="V1" s="267"/>
      <c r="W1" s="267"/>
      <c r="X1" s="267"/>
      <c r="Y1" s="267"/>
      <c r="Z1" s="267"/>
      <c r="AA1" s="267"/>
      <c r="AB1" s="267"/>
      <c r="AC1" s="267"/>
      <c r="AD1" s="267"/>
      <c r="AE1" s="267"/>
      <c r="AF1" s="267"/>
      <c r="AG1" s="267"/>
    </row>
    <row r="2" customHeight="1" spans="1:33">
      <c r="A2" s="266" t="s">
        <v>2</v>
      </c>
      <c r="B2" s="266"/>
      <c r="C2" s="268">
        <v>1</v>
      </c>
      <c r="D2" s="268">
        <v>2</v>
      </c>
      <c r="E2" s="268">
        <v>3</v>
      </c>
      <c r="F2" s="268">
        <v>4</v>
      </c>
      <c r="G2" s="268">
        <v>5</v>
      </c>
      <c r="H2" s="268">
        <v>6</v>
      </c>
      <c r="I2" s="268">
        <v>7</v>
      </c>
      <c r="J2" s="268">
        <v>8</v>
      </c>
      <c r="K2" s="268">
        <v>9</v>
      </c>
      <c r="L2" s="268">
        <v>10</v>
      </c>
      <c r="M2" s="268">
        <v>11</v>
      </c>
      <c r="N2" s="268">
        <v>12</v>
      </c>
      <c r="O2" s="268">
        <v>13</v>
      </c>
      <c r="P2" s="268">
        <v>14</v>
      </c>
      <c r="Q2" s="268">
        <v>15</v>
      </c>
      <c r="R2" s="268">
        <v>16</v>
      </c>
      <c r="S2" s="268">
        <v>17</v>
      </c>
      <c r="T2" s="268">
        <v>18</v>
      </c>
      <c r="U2" s="268">
        <v>19</v>
      </c>
      <c r="V2" s="269" t="s">
        <v>3</v>
      </c>
      <c r="W2" s="268">
        <v>21</v>
      </c>
      <c r="X2" s="268">
        <v>22</v>
      </c>
      <c r="Y2" s="268">
        <v>23</v>
      </c>
      <c r="Z2" s="268">
        <v>24</v>
      </c>
      <c r="AA2" s="268">
        <v>25</v>
      </c>
      <c r="AB2" s="268">
        <v>26</v>
      </c>
      <c r="AC2" s="268">
        <v>27</v>
      </c>
      <c r="AD2" s="268">
        <v>28</v>
      </c>
      <c r="AE2" s="268">
        <v>29</v>
      </c>
      <c r="AF2" s="268">
        <v>30</v>
      </c>
      <c r="AG2" s="268">
        <v>31</v>
      </c>
    </row>
    <row r="3" customHeight="1" spans="1:33">
      <c r="A3" s="266"/>
      <c r="B3" s="266"/>
      <c r="C3" s="270" t="s">
        <v>4</v>
      </c>
      <c r="D3" s="270" t="s">
        <v>5</v>
      </c>
      <c r="E3" s="268" t="s">
        <v>6</v>
      </c>
      <c r="F3" s="268" t="s">
        <v>7</v>
      </c>
      <c r="G3" s="270" t="s">
        <v>8</v>
      </c>
      <c r="H3" s="270" t="s">
        <v>9</v>
      </c>
      <c r="I3" s="270" t="s">
        <v>10</v>
      </c>
      <c r="J3" s="270" t="s">
        <v>4</v>
      </c>
      <c r="K3" s="270" t="s">
        <v>5</v>
      </c>
      <c r="L3" s="268" t="s">
        <v>6</v>
      </c>
      <c r="M3" s="268" t="s">
        <v>7</v>
      </c>
      <c r="N3" s="270" t="s">
        <v>8</v>
      </c>
      <c r="O3" s="270" t="s">
        <v>9</v>
      </c>
      <c r="P3" s="270" t="s">
        <v>10</v>
      </c>
      <c r="Q3" s="270" t="s">
        <v>4</v>
      </c>
      <c r="R3" s="270" t="s">
        <v>5</v>
      </c>
      <c r="S3" s="268" t="s">
        <v>6</v>
      </c>
      <c r="T3" s="268" t="s">
        <v>7</v>
      </c>
      <c r="U3" s="270" t="s">
        <v>8</v>
      </c>
      <c r="V3" s="270" t="s">
        <v>9</v>
      </c>
      <c r="W3" s="270" t="s">
        <v>10</v>
      </c>
      <c r="X3" s="270" t="s">
        <v>4</v>
      </c>
      <c r="Y3" s="270" t="s">
        <v>5</v>
      </c>
      <c r="Z3" s="268" t="s">
        <v>6</v>
      </c>
      <c r="AA3" s="268" t="s">
        <v>7</v>
      </c>
      <c r="AB3" s="270" t="s">
        <v>8</v>
      </c>
      <c r="AC3" s="270" t="s">
        <v>9</v>
      </c>
      <c r="AD3" s="270" t="s">
        <v>10</v>
      </c>
      <c r="AE3" s="270" t="s">
        <v>4</v>
      </c>
      <c r="AF3" s="270" t="s">
        <v>5</v>
      </c>
      <c r="AG3" s="268" t="s">
        <v>6</v>
      </c>
    </row>
    <row r="4" ht="14.4" customHeight="1" spans="1:33">
      <c r="A4" s="266" t="s">
        <v>11</v>
      </c>
      <c r="B4" s="266"/>
      <c r="C4" s="27" t="s">
        <v>12</v>
      </c>
      <c r="D4" s="27"/>
      <c r="E4" s="27"/>
      <c r="F4" s="27"/>
      <c r="G4" s="27"/>
      <c r="H4" s="27"/>
      <c r="I4" s="28" t="s">
        <v>13</v>
      </c>
      <c r="J4" s="28"/>
      <c r="K4" s="28"/>
      <c r="L4" s="28"/>
      <c r="M4" s="28"/>
      <c r="N4" s="28"/>
      <c r="O4" s="28"/>
      <c r="P4" s="28"/>
      <c r="Q4" s="29" t="s">
        <v>14</v>
      </c>
      <c r="R4" s="29"/>
      <c r="S4" s="29"/>
      <c r="T4" s="29"/>
      <c r="U4" s="29"/>
      <c r="V4" s="29"/>
      <c r="W4" s="29"/>
      <c r="X4" s="29"/>
      <c r="Y4" s="30" t="s">
        <v>15</v>
      </c>
      <c r="Z4" s="30"/>
      <c r="AA4" s="30"/>
      <c r="AB4" s="30"/>
      <c r="AC4" s="30"/>
      <c r="AD4" s="30"/>
      <c r="AE4" s="30"/>
      <c r="AF4" s="30"/>
      <c r="AG4" s="30"/>
    </row>
    <row r="5" ht="43.05" customHeight="1" spans="1:33">
      <c r="A5" s="266" t="s">
        <v>16</v>
      </c>
      <c r="B5" s="266" t="s">
        <v>17</v>
      </c>
      <c r="C5" s="271" t="s">
        <v>18</v>
      </c>
      <c r="D5" s="271"/>
      <c r="E5" s="271"/>
      <c r="F5" s="271"/>
      <c r="G5" s="271"/>
      <c r="H5" s="271"/>
      <c r="I5" s="271"/>
      <c r="J5" s="272" t="s">
        <v>19</v>
      </c>
      <c r="K5" s="273"/>
      <c r="L5" s="273"/>
      <c r="M5" s="273"/>
      <c r="N5" s="274"/>
      <c r="O5" s="275" t="s">
        <v>20</v>
      </c>
      <c r="P5" s="276"/>
      <c r="Q5" s="276"/>
      <c r="R5" s="277"/>
      <c r="S5" s="278" t="s">
        <v>21</v>
      </c>
      <c r="T5" s="279"/>
      <c r="U5" s="280"/>
      <c r="V5" s="281" t="s">
        <v>22</v>
      </c>
      <c r="W5" s="282" t="s">
        <v>23</v>
      </c>
      <c r="X5" s="283"/>
      <c r="Y5" s="283"/>
      <c r="Z5" s="283"/>
      <c r="AA5" s="283"/>
      <c r="AB5" s="283"/>
      <c r="AC5" s="283"/>
      <c r="AD5" s="283"/>
      <c r="AE5" s="283"/>
      <c r="AF5" s="283"/>
      <c r="AG5" s="284"/>
    </row>
    <row r="6" ht="45.45" customHeight="1" spans="1:33">
      <c r="A6" s="266"/>
      <c r="B6" s="285" t="s">
        <v>24</v>
      </c>
      <c r="C6" s="286" t="s">
        <v>25</v>
      </c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7"/>
      <c r="AB6" s="287"/>
      <c r="AC6" s="287"/>
      <c r="AD6" s="287"/>
      <c r="AE6" s="287"/>
      <c r="AF6" s="287"/>
      <c r="AG6" s="288"/>
    </row>
  </sheetData>
  <mergeCells count="15">
    <mergeCell ref="A1:B1"/>
    <mergeCell ref="C1:AG1"/>
    <mergeCell ref="A4:B4"/>
    <mergeCell ref="C4:H4"/>
    <mergeCell ref="I4:P4"/>
    <mergeCell ref="Q4:X4"/>
    <mergeCell ref="Y4:AG4"/>
    <mergeCell ref="C5:I5"/>
    <mergeCell ref="J5:N5"/>
    <mergeCell ref="O5:R5"/>
    <mergeCell ref="S5:U5"/>
    <mergeCell ref="W5:AG5"/>
    <mergeCell ref="C6:AG6"/>
    <mergeCell ref="A5:A6"/>
    <mergeCell ref="A2:B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V690"/>
  <sheetViews>
    <sheetView tabSelected="1" zoomScale="70" zoomScaleNormal="70" workbookViewId="0">
      <selection activeCell="B48" sqref="B48"/>
    </sheetView>
  </sheetViews>
  <sheetFormatPr defaultColWidth="10" defaultRowHeight="16.5" customHeight="1"/>
  <cols>
    <col min="1" max="1" width="15.4545454545455" style="7" customWidth="1"/>
    <col min="2" max="2" width="16.6363636363636" style="7" customWidth="1"/>
    <col min="3" max="3" width="16.8181818181818" style="7" customWidth="1"/>
    <col min="4" max="4" width="17" style="7" customWidth="1"/>
    <col min="5" max="5" width="21.3636363636364" style="7" customWidth="1"/>
    <col min="6" max="6" width="19.6363636363636" style="7" customWidth="1"/>
    <col min="7" max="7" width="15.4545454545455" style="13" customWidth="1"/>
    <col min="8" max="8" width="19.6363636363636" style="3" customWidth="1"/>
    <col min="9" max="9" width="13.6363636363636" style="4" customWidth="1"/>
    <col min="10" max="10" width="12.3636363636364" style="4" customWidth="1"/>
    <col min="11" max="11" width="11.1818181818182" style="4" customWidth="1"/>
    <col min="12" max="12" width="12" style="4" customWidth="1"/>
    <col min="13" max="16" width="12.6363636363636" style="14" customWidth="1"/>
    <col min="17" max="17" width="12.8181818181818" style="14" customWidth="1"/>
    <col min="18" max="20" width="12.6363636363636" style="14" customWidth="1"/>
    <col min="21" max="21" width="12.8181818181818" style="14" customWidth="1"/>
    <col min="22" max="28" width="12.6363636363636" style="14" customWidth="1"/>
    <col min="29" max="29" width="12.8181818181818" style="14" customWidth="1"/>
    <col min="30" max="36" width="12.6363636363636" style="14" customWidth="1"/>
    <col min="37" max="37" width="14.6363636363636" style="14" customWidth="1"/>
    <col min="38" max="48" width="10" style="14"/>
  </cols>
  <sheetData>
    <row r="1" customHeight="1" spans="1:48">
      <c r="E1" s="15" t="s">
        <v>26</v>
      </c>
      <c r="F1" s="7" t="s">
        <v>27</v>
      </c>
      <c r="G1" s="16">
        <f t="shared" ref="G1:AJ1" si="0">G12/$E$12</f>
        <v>0.0323412380620381</v>
      </c>
      <c r="H1" s="16">
        <f t="shared" si="0"/>
        <v>0.0310459097803995</v>
      </c>
      <c r="I1" s="16">
        <f t="shared" si="0"/>
        <v>0.0327535047666196</v>
      </c>
      <c r="J1" s="16">
        <f t="shared" si="0"/>
        <v>0.0325302412188477</v>
      </c>
      <c r="K1" s="16">
        <f t="shared" si="0"/>
        <v>0.0303421442493791</v>
      </c>
      <c r="L1" s="16">
        <f t="shared" si="0"/>
        <v>0.0323086906906238</v>
      </c>
      <c r="M1" s="16">
        <f t="shared" si="0"/>
        <v>0.0330081736727739</v>
      </c>
      <c r="N1" s="16">
        <f t="shared" si="0"/>
        <v>0.0318947109664942</v>
      </c>
      <c r="O1" s="16">
        <f t="shared" si="0"/>
        <v>0.0309402735749319</v>
      </c>
      <c r="P1" s="16">
        <f t="shared" si="0"/>
        <v>0.0322421684315051</v>
      </c>
      <c r="Q1" s="16">
        <f t="shared" si="0"/>
        <v>0.0375359698417198</v>
      </c>
      <c r="R1" s="16">
        <f t="shared" si="0"/>
        <v>0.0336614051271246</v>
      </c>
      <c r="S1" s="16">
        <f t="shared" si="0"/>
        <v>0.0305548441766043</v>
      </c>
      <c r="T1" s="16">
        <f t="shared" si="0"/>
        <v>0.0274425731609236</v>
      </c>
      <c r="U1" s="16">
        <f t="shared" si="0"/>
        <v>0.0451049467150994</v>
      </c>
      <c r="V1" s="16">
        <f t="shared" si="0"/>
        <v>0.0312537561522383</v>
      </c>
      <c r="W1" s="16">
        <f t="shared" si="0"/>
        <v>0.0326761333836961</v>
      </c>
      <c r="X1" s="16">
        <f t="shared" si="0"/>
        <v>0.0347651607226316</v>
      </c>
      <c r="Y1" s="16">
        <f t="shared" si="0"/>
        <v>0.0286299812110306</v>
      </c>
      <c r="Z1" s="16">
        <f t="shared" si="0"/>
        <v>0.0280344214148</v>
      </c>
      <c r="AA1" s="16">
        <f t="shared" si="0"/>
        <v>0.0290505275100947</v>
      </c>
      <c r="AB1" s="16">
        <f t="shared" si="0"/>
        <v>0.0331277995378844</v>
      </c>
      <c r="AC1" s="16">
        <f t="shared" si="0"/>
        <v>0.0395670400192772</v>
      </c>
      <c r="AD1" s="16">
        <f t="shared" si="0"/>
        <v>0.0333759018691042</v>
      </c>
      <c r="AE1" s="16">
        <f t="shared" si="0"/>
        <v>0.0299330180806358</v>
      </c>
      <c r="AF1" s="16">
        <f t="shared" si="0"/>
        <v>0.0303375761972508</v>
      </c>
      <c r="AG1" s="16">
        <f t="shared" si="0"/>
        <v>0.0281200723922061</v>
      </c>
      <c r="AH1" s="16">
        <f t="shared" si="0"/>
        <v>0.0282254230944156</v>
      </c>
      <c r="AI1" s="16">
        <f t="shared" si="0"/>
        <v>0.0332428573508667</v>
      </c>
      <c r="AJ1" s="16">
        <f t="shared" si="0"/>
        <v>0.0343720227363375</v>
      </c>
    </row>
    <row r="2" customHeight="1" spans="1:48">
      <c r="F2" s="7" t="s">
        <v>28</v>
      </c>
      <c r="G2" s="17">
        <f t="shared" ref="G2:AJ2" si="1">G12*G17/$B$17</f>
        <v>0.0323412380620382</v>
      </c>
      <c r="H2" s="17">
        <f t="shared" si="1"/>
        <v>0.0310459097803995</v>
      </c>
      <c r="I2" s="17">
        <f t="shared" si="1"/>
        <v>0.0327535047666197</v>
      </c>
      <c r="J2" s="17">
        <f t="shared" si="1"/>
        <v>0.0325302412188477</v>
      </c>
      <c r="K2" s="17">
        <f t="shared" si="1"/>
        <v>0.0303421442493791</v>
      </c>
      <c r="L2" s="17">
        <f t="shared" si="1"/>
        <v>0.0323086906906238</v>
      </c>
      <c r="M2" s="17">
        <f t="shared" si="1"/>
        <v>0.0330081736727739</v>
      </c>
      <c r="N2" s="17">
        <f t="shared" si="1"/>
        <v>0.0318947109664942</v>
      </c>
      <c r="O2" s="17">
        <f t="shared" si="1"/>
        <v>0.0309402735749319</v>
      </c>
      <c r="P2" s="17">
        <f t="shared" si="1"/>
        <v>0.0322421684315051</v>
      </c>
      <c r="Q2" s="17">
        <f t="shared" si="1"/>
        <v>0.0375359698417199</v>
      </c>
      <c r="R2" s="17">
        <f t="shared" si="1"/>
        <v>0.0336614051271246</v>
      </c>
      <c r="S2" s="17">
        <f t="shared" si="1"/>
        <v>0.0305548441766043</v>
      </c>
      <c r="T2" s="17">
        <f t="shared" si="1"/>
        <v>0.0274425731609236</v>
      </c>
      <c r="U2" s="17">
        <f t="shared" si="1"/>
        <v>0.0451049467150995</v>
      </c>
      <c r="V2" s="17">
        <f t="shared" si="1"/>
        <v>0.0312537561522383</v>
      </c>
      <c r="W2" s="17">
        <f t="shared" si="1"/>
        <v>0.0326761333836961</v>
      </c>
      <c r="X2" s="17">
        <f t="shared" si="1"/>
        <v>0.0347651607226316</v>
      </c>
      <c r="Y2" s="17">
        <f t="shared" si="1"/>
        <v>0.0286299812110306</v>
      </c>
      <c r="Z2" s="17">
        <f t="shared" si="1"/>
        <v>0.0280344214148</v>
      </c>
      <c r="AA2" s="17">
        <f t="shared" si="1"/>
        <v>0.0290505275100947</v>
      </c>
      <c r="AB2" s="17">
        <f t="shared" si="1"/>
        <v>0.0331277995378844</v>
      </c>
      <c r="AC2" s="17">
        <f t="shared" si="1"/>
        <v>0.0395670400192772</v>
      </c>
      <c r="AD2" s="17">
        <f t="shared" si="1"/>
        <v>0.0333759018691042</v>
      </c>
      <c r="AE2" s="17">
        <f t="shared" si="1"/>
        <v>0.0299330180806358</v>
      </c>
      <c r="AF2" s="17">
        <f t="shared" si="1"/>
        <v>0.0303375761972508</v>
      </c>
      <c r="AG2" s="17">
        <f t="shared" si="1"/>
        <v>0.0281200723922061</v>
      </c>
      <c r="AH2" s="17">
        <f t="shared" si="1"/>
        <v>0.0282254230944157</v>
      </c>
      <c r="AI2" s="17">
        <f t="shared" si="1"/>
        <v>0.0332428573508667</v>
      </c>
      <c r="AJ2" s="17">
        <f t="shared" si="1"/>
        <v>0.0343720227363375</v>
      </c>
    </row>
    <row r="3" customHeight="1" spans="1:48">
      <c r="E3" s="15" t="s">
        <v>29</v>
      </c>
      <c r="F3" s="7" t="s">
        <v>30</v>
      </c>
      <c r="G3" s="16" t="e">
        <f t="shared" ref="G3:AJ3" si="2">G33/$E$33</f>
        <v>#DIV/0!</v>
      </c>
      <c r="H3" s="16" t="e">
        <f t="shared" si="2"/>
        <v>#DIV/0!</v>
      </c>
      <c r="I3" s="16" t="e">
        <f t="shared" si="2"/>
        <v>#DIV/0!</v>
      </c>
      <c r="J3" s="16" t="e">
        <f t="shared" si="2"/>
        <v>#DIV/0!</v>
      </c>
      <c r="K3" s="16" t="e">
        <f t="shared" si="2"/>
        <v>#DIV/0!</v>
      </c>
      <c r="L3" s="16" t="e">
        <f t="shared" si="2"/>
        <v>#DIV/0!</v>
      </c>
      <c r="M3" s="16" t="e">
        <f t="shared" si="2"/>
        <v>#DIV/0!</v>
      </c>
      <c r="N3" s="16" t="e">
        <f t="shared" si="2"/>
        <v>#DIV/0!</v>
      </c>
      <c r="O3" s="16" t="e">
        <f t="shared" si="2"/>
        <v>#DIV/0!</v>
      </c>
      <c r="P3" s="16" t="e">
        <f t="shared" si="2"/>
        <v>#DIV/0!</v>
      </c>
      <c r="Q3" s="16" t="e">
        <f t="shared" si="2"/>
        <v>#DIV/0!</v>
      </c>
      <c r="R3" s="16" t="e">
        <f t="shared" si="2"/>
        <v>#DIV/0!</v>
      </c>
      <c r="S3" s="16" t="e">
        <f t="shared" si="2"/>
        <v>#DIV/0!</v>
      </c>
      <c r="T3" s="16" t="e">
        <f t="shared" si="2"/>
        <v>#DIV/0!</v>
      </c>
      <c r="U3" s="16" t="e">
        <f t="shared" si="2"/>
        <v>#DIV/0!</v>
      </c>
      <c r="V3" s="16" t="e">
        <f t="shared" si="2"/>
        <v>#DIV/0!</v>
      </c>
      <c r="W3" s="16" t="e">
        <f t="shared" si="2"/>
        <v>#DIV/0!</v>
      </c>
      <c r="X3" s="16" t="e">
        <f t="shared" si="2"/>
        <v>#DIV/0!</v>
      </c>
      <c r="Y3" s="16" t="e">
        <f t="shared" si="2"/>
        <v>#DIV/0!</v>
      </c>
      <c r="Z3" s="16" t="e">
        <f t="shared" si="2"/>
        <v>#DIV/0!</v>
      </c>
      <c r="AA3" s="16" t="e">
        <f t="shared" si="2"/>
        <v>#DIV/0!</v>
      </c>
      <c r="AB3" s="16" t="e">
        <f t="shared" si="2"/>
        <v>#DIV/0!</v>
      </c>
      <c r="AC3" s="16" t="e">
        <f t="shared" si="2"/>
        <v>#DIV/0!</v>
      </c>
      <c r="AD3" s="16" t="e">
        <f t="shared" si="2"/>
        <v>#DIV/0!</v>
      </c>
      <c r="AE3" s="16" t="e">
        <f t="shared" si="2"/>
        <v>#DIV/0!</v>
      </c>
      <c r="AF3" s="16" t="e">
        <f t="shared" si="2"/>
        <v>#DIV/0!</v>
      </c>
      <c r="AG3" s="16" t="e">
        <f t="shared" si="2"/>
        <v>#DIV/0!</v>
      </c>
      <c r="AH3" s="16" t="e">
        <f t="shared" si="2"/>
        <v>#DIV/0!</v>
      </c>
      <c r="AI3" s="16" t="e">
        <f t="shared" si="2"/>
        <v>#DIV/0!</v>
      </c>
      <c r="AJ3" s="16" t="e">
        <f t="shared" si="2"/>
        <v>#DIV/0!</v>
      </c>
    </row>
    <row r="4" customHeight="1" spans="1:48">
      <c r="F4" s="7" t="s">
        <v>31</v>
      </c>
      <c r="G4" s="16" t="e">
        <f t="shared" ref="G4:AJ4" si="3">G33*G38/$B$38</f>
        <v>#DIV/0!</v>
      </c>
      <c r="H4" s="16" t="e">
        <f t="shared" si="3"/>
        <v>#DIV/0!</v>
      </c>
      <c r="I4" s="16" t="e">
        <f t="shared" si="3"/>
        <v>#DIV/0!</v>
      </c>
      <c r="J4" s="16" t="e">
        <f t="shared" si="3"/>
        <v>#DIV/0!</v>
      </c>
      <c r="K4" s="16" t="e">
        <f t="shared" si="3"/>
        <v>#DIV/0!</v>
      </c>
      <c r="L4" s="16" t="e">
        <f t="shared" si="3"/>
        <v>#DIV/0!</v>
      </c>
      <c r="M4" s="16" t="e">
        <f t="shared" si="3"/>
        <v>#DIV/0!</v>
      </c>
      <c r="N4" s="16" t="e">
        <f t="shared" si="3"/>
        <v>#DIV/0!</v>
      </c>
      <c r="O4" s="16" t="e">
        <f t="shared" si="3"/>
        <v>#DIV/0!</v>
      </c>
      <c r="P4" s="16" t="e">
        <f t="shared" si="3"/>
        <v>#DIV/0!</v>
      </c>
      <c r="Q4" s="16" t="e">
        <f t="shared" si="3"/>
        <v>#DIV/0!</v>
      </c>
      <c r="R4" s="16" t="e">
        <f t="shared" si="3"/>
        <v>#DIV/0!</v>
      </c>
      <c r="S4" s="16" t="e">
        <f t="shared" si="3"/>
        <v>#DIV/0!</v>
      </c>
      <c r="T4" s="16" t="e">
        <f t="shared" si="3"/>
        <v>#DIV/0!</v>
      </c>
      <c r="U4" s="16" t="e">
        <f t="shared" si="3"/>
        <v>#DIV/0!</v>
      </c>
      <c r="V4" s="16" t="e">
        <f t="shared" si="3"/>
        <v>#DIV/0!</v>
      </c>
      <c r="W4" s="16" t="e">
        <f t="shared" si="3"/>
        <v>#DIV/0!</v>
      </c>
      <c r="X4" s="16" t="e">
        <f t="shared" si="3"/>
        <v>#DIV/0!</v>
      </c>
      <c r="Y4" s="16" t="e">
        <f t="shared" si="3"/>
        <v>#DIV/0!</v>
      </c>
      <c r="Z4" s="16" t="e">
        <f t="shared" si="3"/>
        <v>#DIV/0!</v>
      </c>
      <c r="AA4" s="16" t="e">
        <f t="shared" si="3"/>
        <v>#DIV/0!</v>
      </c>
      <c r="AB4" s="16" t="e">
        <f t="shared" si="3"/>
        <v>#DIV/0!</v>
      </c>
      <c r="AC4" s="16" t="e">
        <f t="shared" si="3"/>
        <v>#DIV/0!</v>
      </c>
      <c r="AD4" s="16" t="e">
        <f t="shared" si="3"/>
        <v>#DIV/0!</v>
      </c>
      <c r="AE4" s="16" t="e">
        <f t="shared" si="3"/>
        <v>#DIV/0!</v>
      </c>
      <c r="AF4" s="16" t="e">
        <f t="shared" si="3"/>
        <v>#DIV/0!</v>
      </c>
      <c r="AG4" s="16" t="e">
        <f t="shared" si="3"/>
        <v>#DIV/0!</v>
      </c>
      <c r="AH4" s="16" t="e">
        <f t="shared" si="3"/>
        <v>#DIV/0!</v>
      </c>
      <c r="AI4" s="16" t="e">
        <f t="shared" si="3"/>
        <v>#DIV/0!</v>
      </c>
      <c r="AJ4" s="16" t="e">
        <f t="shared" si="3"/>
        <v>#DIV/0!</v>
      </c>
    </row>
    <row r="5" customHeight="1" spans="1:48">
      <c r="F5" s="7" t="s">
        <v>32</v>
      </c>
      <c r="G5" s="16">
        <f t="shared" ref="G5:AJ5" si="4">G40/$E$40</f>
        <v>0.03</v>
      </c>
      <c r="H5" s="16">
        <f t="shared" si="4"/>
        <v>0.03</v>
      </c>
      <c r="I5" s="16">
        <f t="shared" si="4"/>
        <v>0.03</v>
      </c>
      <c r="J5" s="16">
        <f t="shared" si="4"/>
        <v>0.03</v>
      </c>
      <c r="K5" s="16">
        <f t="shared" si="4"/>
        <v>0.03</v>
      </c>
      <c r="L5" s="16">
        <f t="shared" si="4"/>
        <v>0.02</v>
      </c>
      <c r="M5" s="16">
        <f t="shared" si="4"/>
        <v>0.06</v>
      </c>
      <c r="N5" s="16">
        <f t="shared" si="4"/>
        <v>0.03</v>
      </c>
      <c r="O5" s="16">
        <f t="shared" si="4"/>
        <v>0.04</v>
      </c>
      <c r="P5" s="16">
        <f t="shared" si="4"/>
        <v>0.03</v>
      </c>
      <c r="Q5" s="16">
        <f t="shared" si="4"/>
        <v>0.03</v>
      </c>
      <c r="R5" s="16">
        <f t="shared" si="4"/>
        <v>0.03</v>
      </c>
      <c r="S5" s="16">
        <f t="shared" si="4"/>
        <v>0.03</v>
      </c>
      <c r="T5" s="16">
        <f t="shared" si="4"/>
        <v>0.03</v>
      </c>
      <c r="U5" s="16">
        <f t="shared" si="4"/>
        <v>0.03</v>
      </c>
      <c r="V5" s="16">
        <f t="shared" si="4"/>
        <v>0.03</v>
      </c>
      <c r="W5" s="16">
        <f t="shared" si="4"/>
        <v>0.06</v>
      </c>
      <c r="X5" s="16">
        <f t="shared" si="4"/>
        <v>0.03</v>
      </c>
      <c r="Y5" s="16">
        <f t="shared" si="4"/>
        <v>0.04</v>
      </c>
      <c r="Z5" s="16">
        <f t="shared" si="4"/>
        <v>0.02</v>
      </c>
      <c r="AA5" s="16">
        <f t="shared" si="4"/>
        <v>0.03</v>
      </c>
      <c r="AB5" s="16">
        <f t="shared" si="4"/>
        <v>0.03</v>
      </c>
      <c r="AC5" s="16">
        <f t="shared" si="4"/>
        <v>0.03</v>
      </c>
      <c r="AD5" s="16">
        <f t="shared" si="4"/>
        <v>0.02</v>
      </c>
      <c r="AE5" s="16">
        <f t="shared" si="4"/>
        <v>0.04</v>
      </c>
      <c r="AF5" s="16">
        <f t="shared" si="4"/>
        <v>0.04</v>
      </c>
      <c r="AG5" s="16">
        <f t="shared" si="4"/>
        <v>0.03</v>
      </c>
      <c r="AH5" s="16">
        <f t="shared" si="4"/>
        <v>0.04</v>
      </c>
      <c r="AI5" s="16">
        <f t="shared" si="4"/>
        <v>0.03</v>
      </c>
      <c r="AJ5" s="16">
        <f t="shared" si="4"/>
        <v>0.03</v>
      </c>
    </row>
    <row r="6" customHeight="1" spans="1:48">
      <c r="F6" s="7" t="s">
        <v>33</v>
      </c>
    </row>
    <row r="7" ht="19.5" customHeight="1" spans="1:48">
      <c r="C7" s="14" t="s">
        <v>34</v>
      </c>
      <c r="D7" s="18">
        <f ca="1">(DAY(TODAY())-1)/DAY(EOMONTH(TODAY(),0))</f>
        <v>0.032258064516129</v>
      </c>
      <c r="AJ7" s="15"/>
      <c r="AK7" s="15"/>
    </row>
    <row r="8" ht="19.5" customHeight="1" spans="1:48">
      <c r="C8" s="14"/>
      <c r="D8" s="18"/>
      <c r="F8" s="7" t="s">
        <v>35</v>
      </c>
      <c r="G8" s="19">
        <v>0.03</v>
      </c>
      <c r="H8" s="19">
        <v>0.03</v>
      </c>
      <c r="I8" s="20">
        <v>0.03</v>
      </c>
      <c r="J8" s="20">
        <v>0.03</v>
      </c>
      <c r="K8" s="20">
        <v>0.03</v>
      </c>
      <c r="L8" s="20">
        <v>0.02</v>
      </c>
      <c r="M8" s="20">
        <v>0.06</v>
      </c>
      <c r="N8" s="20">
        <v>0.03</v>
      </c>
      <c r="O8" s="20">
        <v>0.04</v>
      </c>
      <c r="P8" s="20">
        <v>0.03</v>
      </c>
      <c r="Q8" s="20">
        <v>0.03</v>
      </c>
      <c r="R8" s="20">
        <v>0.03</v>
      </c>
      <c r="S8" s="20">
        <v>0.03</v>
      </c>
      <c r="T8" s="20">
        <v>0.03</v>
      </c>
      <c r="U8" s="20">
        <v>0.03</v>
      </c>
      <c r="V8" s="20">
        <v>0.03</v>
      </c>
      <c r="W8" s="20">
        <v>0.06</v>
      </c>
      <c r="X8" s="20">
        <v>0.03</v>
      </c>
      <c r="Y8" s="20">
        <v>0.04</v>
      </c>
      <c r="Z8" s="20">
        <v>0.02</v>
      </c>
      <c r="AA8" s="20">
        <v>0.03</v>
      </c>
      <c r="AB8" s="20">
        <v>0.03</v>
      </c>
      <c r="AC8" s="20">
        <v>0.03</v>
      </c>
      <c r="AD8" s="20">
        <v>0.02</v>
      </c>
      <c r="AE8" s="20">
        <v>0.04</v>
      </c>
      <c r="AF8" s="20">
        <v>0.04</v>
      </c>
      <c r="AG8" s="20">
        <v>0.03</v>
      </c>
      <c r="AH8" s="20">
        <v>0.04</v>
      </c>
      <c r="AI8" s="20">
        <v>0.03</v>
      </c>
      <c r="AJ8" s="20">
        <v>0.03</v>
      </c>
      <c r="AK8" s="20">
        <v>0.02</v>
      </c>
    </row>
    <row r="9" customHeight="1" spans="1:48">
      <c r="C9" s="21"/>
      <c r="D9" s="21"/>
      <c r="G9" s="22">
        <v>0.0323412380620381</v>
      </c>
      <c r="H9" s="22">
        <v>0.0310459097803995</v>
      </c>
      <c r="I9" s="22">
        <v>0.0327535047666196</v>
      </c>
      <c r="J9" s="22">
        <v>0.0325302412188477</v>
      </c>
      <c r="K9" s="22">
        <v>0.0303421442493791</v>
      </c>
      <c r="L9" s="22">
        <v>0.0323086906906238</v>
      </c>
      <c r="M9" s="22">
        <v>0.0330081736727739</v>
      </c>
      <c r="N9" s="22">
        <v>0.0318947109664942</v>
      </c>
      <c r="O9" s="22">
        <v>0.0309402735749319</v>
      </c>
      <c r="P9" s="22">
        <v>0.0322421684315051</v>
      </c>
      <c r="Q9" s="22">
        <v>0.0375359698417198</v>
      </c>
      <c r="R9" s="22">
        <v>0.0336614051271246</v>
      </c>
      <c r="S9" s="22">
        <v>0.0305548441766043</v>
      </c>
      <c r="T9" s="22">
        <v>0.0274425731609236</v>
      </c>
      <c r="U9" s="22">
        <v>0.0451049467150994</v>
      </c>
      <c r="V9" s="22">
        <v>0.0312537561522383</v>
      </c>
      <c r="W9" s="22">
        <v>0.0326761333836961</v>
      </c>
      <c r="X9" s="22">
        <v>0.0347651607226316</v>
      </c>
      <c r="Y9" s="22">
        <v>0.0286299812110306</v>
      </c>
      <c r="Z9" s="22">
        <v>0.0280344214148</v>
      </c>
      <c r="AA9" s="22">
        <v>0.0290505275100947</v>
      </c>
      <c r="AB9" s="22">
        <v>0.0331277995378844</v>
      </c>
      <c r="AC9" s="22">
        <v>0.0395670400192772</v>
      </c>
      <c r="AD9" s="22">
        <v>0.0333759018691042</v>
      </c>
      <c r="AE9" s="22">
        <v>0.0299330180806358</v>
      </c>
      <c r="AF9" s="22">
        <v>0.0303375761972508</v>
      </c>
      <c r="AG9" s="22">
        <v>0.0281200723922061</v>
      </c>
      <c r="AH9" s="22">
        <v>0.0282254230944156</v>
      </c>
      <c r="AI9" s="22">
        <v>0.0332428573508667</v>
      </c>
      <c r="AJ9" s="22">
        <v>0.0343720227363375</v>
      </c>
      <c r="AK9" s="22">
        <v>0.0315815138924458</v>
      </c>
    </row>
    <row r="10" ht="19.5" customHeight="1" spans="1:48">
      <c r="C10" s="21"/>
      <c r="D10" s="21"/>
      <c r="G10" s="23">
        <v>46204</v>
      </c>
      <c r="H10" s="23">
        <v>46205</v>
      </c>
      <c r="I10" s="23">
        <v>46206</v>
      </c>
      <c r="J10" s="23">
        <v>46207</v>
      </c>
      <c r="K10" s="23">
        <v>46208</v>
      </c>
      <c r="L10" s="23">
        <v>46209</v>
      </c>
      <c r="M10" s="23">
        <v>46210</v>
      </c>
      <c r="N10" s="23">
        <v>46211</v>
      </c>
      <c r="O10" s="23">
        <v>46212</v>
      </c>
      <c r="P10" s="23">
        <v>46213</v>
      </c>
      <c r="Q10" s="23">
        <v>46214</v>
      </c>
      <c r="R10" s="23">
        <v>46215</v>
      </c>
      <c r="S10" s="23">
        <v>46216</v>
      </c>
      <c r="T10" s="23">
        <v>46217</v>
      </c>
      <c r="U10" s="23">
        <v>46218</v>
      </c>
      <c r="V10" s="23">
        <v>46219</v>
      </c>
      <c r="W10" s="23">
        <v>46220</v>
      </c>
      <c r="X10" s="23">
        <v>46221</v>
      </c>
      <c r="Y10" s="23">
        <v>46222</v>
      </c>
      <c r="Z10" s="23">
        <v>46223</v>
      </c>
      <c r="AA10" s="23">
        <v>46224</v>
      </c>
      <c r="AB10" s="23">
        <v>46225</v>
      </c>
      <c r="AC10" s="23">
        <v>46226</v>
      </c>
      <c r="AD10" s="23">
        <v>46227</v>
      </c>
      <c r="AE10" s="23">
        <v>46228</v>
      </c>
      <c r="AF10" s="23">
        <v>46229</v>
      </c>
      <c r="AG10" s="23">
        <v>46230</v>
      </c>
      <c r="AH10" s="23">
        <v>46231</v>
      </c>
      <c r="AI10" s="23">
        <v>46232</v>
      </c>
      <c r="AJ10" s="23">
        <v>46233</v>
      </c>
      <c r="AK10" s="23">
        <v>46234</v>
      </c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</row>
    <row r="11" ht="26.25" customHeight="1" spans="1:48">
      <c r="C11" s="25" t="s">
        <v>36</v>
      </c>
      <c r="D11" s="25" t="s">
        <v>37</v>
      </c>
      <c r="E11" s="25" t="s">
        <v>38</v>
      </c>
      <c r="F11" s="26" t="s">
        <v>39</v>
      </c>
      <c r="G11" s="27" t="s">
        <v>12</v>
      </c>
      <c r="H11" s="27"/>
      <c r="I11" s="27"/>
      <c r="J11" s="27"/>
      <c r="K11" s="27"/>
      <c r="L11" s="27"/>
      <c r="M11" s="28" t="s">
        <v>13</v>
      </c>
      <c r="N11" s="28"/>
      <c r="O11" s="28"/>
      <c r="P11" s="28"/>
      <c r="Q11" s="28"/>
      <c r="R11" s="28"/>
      <c r="S11" s="28"/>
      <c r="T11" s="28"/>
      <c r="U11" s="29" t="s">
        <v>14</v>
      </c>
      <c r="V11" s="29"/>
      <c r="W11" s="29"/>
      <c r="X11" s="29"/>
      <c r="Y11" s="29"/>
      <c r="Z11" s="29"/>
      <c r="AA11" s="29"/>
      <c r="AB11" s="29"/>
      <c r="AC11" s="30" t="s">
        <v>15</v>
      </c>
      <c r="AD11" s="30"/>
      <c r="AE11" s="30"/>
      <c r="AF11" s="30"/>
      <c r="AG11" s="30"/>
      <c r="AH11" s="30"/>
      <c r="AI11" s="30"/>
      <c r="AJ11" s="30"/>
      <c r="AK11" s="30"/>
    </row>
    <row r="12" s="3" customFormat="1" ht="20.25" customHeight="1" spans="1:48">
      <c r="C12" s="31" t="s">
        <v>40</v>
      </c>
      <c r="D12" s="31" t="s">
        <v>41</v>
      </c>
      <c r="E12" s="32">
        <v>2800000</v>
      </c>
      <c r="F12" s="33">
        <f>E12/$E$47</f>
        <v>0.848484848484848</v>
      </c>
      <c r="G12" s="34">
        <f t="shared" ref="G12:AK12" si="5">$E$12*G9</f>
        <v>90555.4665737068</v>
      </c>
      <c r="H12" s="34">
        <f t="shared" si="5"/>
        <v>86928.5473851185</v>
      </c>
      <c r="I12" s="34">
        <f t="shared" si="5"/>
        <v>91709.813346535</v>
      </c>
      <c r="J12" s="34">
        <f t="shared" si="5"/>
        <v>91084.6754127735</v>
      </c>
      <c r="K12" s="34">
        <f t="shared" si="5"/>
        <v>84958.0038982615</v>
      </c>
      <c r="L12" s="34">
        <f t="shared" si="5"/>
        <v>90464.3339337467</v>
      </c>
      <c r="M12" s="34">
        <f t="shared" si="5"/>
        <v>92422.8862837668</v>
      </c>
      <c r="N12" s="34">
        <f t="shared" si="5"/>
        <v>89305.1907061838</v>
      </c>
      <c r="O12" s="34">
        <f t="shared" si="5"/>
        <v>86632.7660098093</v>
      </c>
      <c r="P12" s="34">
        <f t="shared" si="5"/>
        <v>90278.0716082142</v>
      </c>
      <c r="Q12" s="34">
        <f t="shared" si="5"/>
        <v>105100.715556816</v>
      </c>
      <c r="R12" s="34">
        <f t="shared" si="5"/>
        <v>94251.9343559489</v>
      </c>
      <c r="S12" s="34">
        <f t="shared" si="5"/>
        <v>85553.5636944921</v>
      </c>
      <c r="T12" s="34">
        <f t="shared" si="5"/>
        <v>76839.2048505862</v>
      </c>
      <c r="U12" s="34">
        <f t="shared" si="5"/>
        <v>126293.850802278</v>
      </c>
      <c r="V12" s="34">
        <f t="shared" si="5"/>
        <v>87510.5172262673</v>
      </c>
      <c r="W12" s="34">
        <f t="shared" si="5"/>
        <v>91493.1734743491</v>
      </c>
      <c r="X12" s="34">
        <f t="shared" si="5"/>
        <v>97342.4500233684</v>
      </c>
      <c r="Y12" s="34">
        <f t="shared" si="5"/>
        <v>80163.9473908857</v>
      </c>
      <c r="Z12" s="34">
        <f t="shared" si="5"/>
        <v>78496.3799614399</v>
      </c>
      <c r="AA12" s="34">
        <f t="shared" si="5"/>
        <v>81341.4770282651</v>
      </c>
      <c r="AB12" s="34">
        <f t="shared" si="5"/>
        <v>92757.8387060764</v>
      </c>
      <c r="AC12" s="34">
        <f t="shared" si="5"/>
        <v>110787.712053976</v>
      </c>
      <c r="AD12" s="34">
        <f t="shared" si="5"/>
        <v>93452.5252334917</v>
      </c>
      <c r="AE12" s="34">
        <f t="shared" si="5"/>
        <v>83812.4506257803</v>
      </c>
      <c r="AF12" s="34">
        <f t="shared" si="5"/>
        <v>84945.2133523022</v>
      </c>
      <c r="AG12" s="34">
        <f t="shared" si="5"/>
        <v>78736.2026981771</v>
      </c>
      <c r="AH12" s="34">
        <f t="shared" si="5"/>
        <v>79031.1846643638</v>
      </c>
      <c r="AI12" s="34">
        <f t="shared" si="5"/>
        <v>93080.0005824267</v>
      </c>
      <c r="AJ12" s="34">
        <f t="shared" si="5"/>
        <v>96241.6636617449</v>
      </c>
      <c r="AK12" s="34">
        <f t="shared" si="5"/>
        <v>88428.2388988482</v>
      </c>
      <c r="AM12" s="35"/>
      <c r="AN12" s="35">
        <f>SUM(J12:P12)</f>
        <v>625145.927852756</v>
      </c>
      <c r="AO12" s="35"/>
      <c r="AP12" s="35"/>
      <c r="AQ12" s="35"/>
      <c r="AR12" s="35"/>
      <c r="AS12" s="35"/>
      <c r="AT12" s="35"/>
      <c r="AU12" s="35"/>
      <c r="AV12" s="35"/>
    </row>
    <row r="13" s="3" customFormat="1" ht="20.25" customHeight="1" spans="1:48">
      <c r="A13" s="4"/>
      <c r="B13" s="4"/>
      <c r="C13" s="36"/>
      <c r="D13" s="31" t="s">
        <v>42</v>
      </c>
      <c r="E13" s="37">
        <f>SUM(G13:AK13)</f>
        <v>0</v>
      </c>
      <c r="F13" s="33" t="e">
        <f>E13/$E$48</f>
        <v>#DIV/0!</v>
      </c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7"/>
      <c r="AM13" s="35"/>
      <c r="AN13" s="35">
        <f>SUM(J13:P13)</f>
        <v>0</v>
      </c>
      <c r="AO13" s="35"/>
      <c r="AP13" s="35"/>
      <c r="AQ13" s="35"/>
      <c r="AR13" s="35"/>
      <c r="AS13" s="35"/>
      <c r="AT13" s="35"/>
      <c r="AU13" s="35"/>
      <c r="AV13" s="35"/>
    </row>
    <row r="14" s="3" customFormat="1" ht="19.5" customHeight="1" spans="1:48">
      <c r="C14" s="36"/>
      <c r="D14" s="31" t="s">
        <v>43</v>
      </c>
      <c r="E14" s="38">
        <f>E13/E12</f>
        <v>0</v>
      </c>
      <c r="F14" s="31"/>
      <c r="G14" s="38">
        <f t="shared" ref="G14:AJ14" si="6">G13/G12</f>
        <v>0</v>
      </c>
      <c r="H14" s="38">
        <f t="shared" si="6"/>
        <v>0</v>
      </c>
      <c r="I14" s="38">
        <f t="shared" si="6"/>
        <v>0</v>
      </c>
      <c r="J14" s="38">
        <f t="shared" si="6"/>
        <v>0</v>
      </c>
      <c r="K14" s="38">
        <f t="shared" si="6"/>
        <v>0</v>
      </c>
      <c r="L14" s="38">
        <f t="shared" si="6"/>
        <v>0</v>
      </c>
      <c r="M14" s="38">
        <f t="shared" si="6"/>
        <v>0</v>
      </c>
      <c r="N14" s="38">
        <f t="shared" si="6"/>
        <v>0</v>
      </c>
      <c r="O14" s="38">
        <f t="shared" si="6"/>
        <v>0</v>
      </c>
      <c r="P14" s="38">
        <f t="shared" si="6"/>
        <v>0</v>
      </c>
      <c r="Q14" s="38">
        <f t="shared" si="6"/>
        <v>0</v>
      </c>
      <c r="R14" s="38">
        <f t="shared" si="6"/>
        <v>0</v>
      </c>
      <c r="S14" s="38">
        <f t="shared" si="6"/>
        <v>0</v>
      </c>
      <c r="T14" s="38">
        <f t="shared" si="6"/>
        <v>0</v>
      </c>
      <c r="U14" s="38">
        <f t="shared" si="6"/>
        <v>0</v>
      </c>
      <c r="V14" s="38">
        <f t="shared" si="6"/>
        <v>0</v>
      </c>
      <c r="W14" s="38">
        <f t="shared" si="6"/>
        <v>0</v>
      </c>
      <c r="X14" s="38">
        <f t="shared" si="6"/>
        <v>0</v>
      </c>
      <c r="Y14" s="38">
        <f t="shared" si="6"/>
        <v>0</v>
      </c>
      <c r="Z14" s="38">
        <f t="shared" si="6"/>
        <v>0</v>
      </c>
      <c r="AA14" s="38">
        <f t="shared" si="6"/>
        <v>0</v>
      </c>
      <c r="AB14" s="38">
        <f t="shared" si="6"/>
        <v>0</v>
      </c>
      <c r="AC14" s="38">
        <f t="shared" si="6"/>
        <v>0</v>
      </c>
      <c r="AD14" s="38">
        <f t="shared" si="6"/>
        <v>0</v>
      </c>
      <c r="AE14" s="38">
        <f t="shared" si="6"/>
        <v>0</v>
      </c>
      <c r="AF14" s="38">
        <f t="shared" si="6"/>
        <v>0</v>
      </c>
      <c r="AG14" s="38">
        <f t="shared" si="6"/>
        <v>0</v>
      </c>
      <c r="AH14" s="38">
        <f t="shared" si="6"/>
        <v>0</v>
      </c>
      <c r="AI14" s="38">
        <f t="shared" si="6"/>
        <v>0</v>
      </c>
      <c r="AJ14" s="38">
        <f t="shared" si="6"/>
        <v>0</v>
      </c>
      <c r="AK14" s="38"/>
      <c r="AM14" s="35"/>
      <c r="AN14" s="35"/>
      <c r="AO14" s="35"/>
      <c r="AP14" s="35"/>
      <c r="AQ14" s="35"/>
      <c r="AR14" s="35"/>
      <c r="AS14" s="35"/>
      <c r="AT14" s="35"/>
      <c r="AU14" s="35"/>
      <c r="AV14" s="35"/>
    </row>
    <row r="15" s="4" customFormat="1" ht="19.5" customHeight="1" spans="1:48">
      <c r="C15" s="39"/>
      <c r="D15" s="40" t="s">
        <v>44</v>
      </c>
      <c r="E15" s="41">
        <f>SUM(G15:AK15)</f>
        <v>0</v>
      </c>
      <c r="F15" s="40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1"/>
      <c r="AM15" s="14"/>
      <c r="AN15" s="14"/>
      <c r="AO15" s="14"/>
      <c r="AP15" s="14"/>
      <c r="AQ15" s="14"/>
      <c r="AR15" s="14"/>
      <c r="AS15" s="14"/>
      <c r="AT15" s="14"/>
      <c r="AU15" s="14"/>
      <c r="AV15" s="14"/>
    </row>
    <row r="16" s="4" customFormat="1" ht="19.2" customHeight="1" spans="1:48">
      <c r="B16" s="4">
        <f>E12*10%</f>
        <v>280000</v>
      </c>
      <c r="C16" s="39"/>
      <c r="D16" s="43" t="s">
        <v>45</v>
      </c>
      <c r="E16" s="44">
        <f>SUM(G16:AK16)</f>
        <v>280000</v>
      </c>
      <c r="F16" s="40"/>
      <c r="G16" s="45">
        <f t="shared" ref="G16:AK16" si="7">$B$16*G9</f>
        <v>9055.54665737068</v>
      </c>
      <c r="H16" s="45">
        <f t="shared" si="7"/>
        <v>8692.85473851185</v>
      </c>
      <c r="I16" s="45">
        <f t="shared" si="7"/>
        <v>9170.9813346535</v>
      </c>
      <c r="J16" s="45">
        <f t="shared" si="7"/>
        <v>9108.46754127735</v>
      </c>
      <c r="K16" s="45">
        <f t="shared" si="7"/>
        <v>8495.80038982615</v>
      </c>
      <c r="L16" s="45">
        <f t="shared" si="7"/>
        <v>9046.43339337467</v>
      </c>
      <c r="M16" s="45">
        <f t="shared" si="7"/>
        <v>9242.28862837668</v>
      </c>
      <c r="N16" s="45">
        <f t="shared" si="7"/>
        <v>8930.51907061837</v>
      </c>
      <c r="O16" s="45">
        <f t="shared" si="7"/>
        <v>8663.27660098093</v>
      </c>
      <c r="P16" s="45">
        <f t="shared" si="7"/>
        <v>9027.80716082142</v>
      </c>
      <c r="Q16" s="45">
        <f t="shared" si="7"/>
        <v>10510.0715556816</v>
      </c>
      <c r="R16" s="45">
        <f t="shared" si="7"/>
        <v>9425.19343559489</v>
      </c>
      <c r="S16" s="45">
        <f t="shared" si="7"/>
        <v>8555.35636944921</v>
      </c>
      <c r="T16" s="45">
        <f t="shared" si="7"/>
        <v>7683.92048505862</v>
      </c>
      <c r="U16" s="45">
        <f t="shared" si="7"/>
        <v>12629.3850802278</v>
      </c>
      <c r="V16" s="45">
        <f t="shared" si="7"/>
        <v>8751.05172262673</v>
      </c>
      <c r="W16" s="45">
        <f t="shared" si="7"/>
        <v>9149.31734743491</v>
      </c>
      <c r="X16" s="45">
        <f t="shared" si="7"/>
        <v>9734.24500233684</v>
      </c>
      <c r="Y16" s="45">
        <f t="shared" si="7"/>
        <v>8016.39473908857</v>
      </c>
      <c r="Z16" s="45">
        <f t="shared" si="7"/>
        <v>7849.63799614399</v>
      </c>
      <c r="AA16" s="45">
        <f t="shared" si="7"/>
        <v>8134.14770282651</v>
      </c>
      <c r="AB16" s="45">
        <f t="shared" si="7"/>
        <v>9275.78387060764</v>
      </c>
      <c r="AC16" s="45">
        <f t="shared" si="7"/>
        <v>11078.7712053976</v>
      </c>
      <c r="AD16" s="45">
        <f t="shared" si="7"/>
        <v>9345.25252334917</v>
      </c>
      <c r="AE16" s="45">
        <f t="shared" si="7"/>
        <v>8381.24506257803</v>
      </c>
      <c r="AF16" s="45">
        <f t="shared" si="7"/>
        <v>8494.52133523022</v>
      </c>
      <c r="AG16" s="45">
        <f t="shared" si="7"/>
        <v>7873.62026981771</v>
      </c>
      <c r="AH16" s="45">
        <f t="shared" si="7"/>
        <v>7903.11846643638</v>
      </c>
      <c r="AI16" s="45">
        <f t="shared" si="7"/>
        <v>9308.00005824267</v>
      </c>
      <c r="AJ16" s="45">
        <f t="shared" si="7"/>
        <v>9624.16636617449</v>
      </c>
      <c r="AK16" s="45">
        <f t="shared" si="7"/>
        <v>8842.82388988482</v>
      </c>
      <c r="AM16" s="14"/>
      <c r="AN16" s="14"/>
      <c r="AO16" s="14"/>
      <c r="AP16" s="14"/>
      <c r="AQ16" s="14"/>
      <c r="AR16" s="14"/>
      <c r="AS16" s="14"/>
      <c r="AT16" s="14"/>
      <c r="AU16" s="14"/>
      <c r="AV16" s="14"/>
    </row>
    <row r="17" s="4" customFormat="1" ht="19.5" customHeight="1" spans="1:48">
      <c r="B17" s="46">
        <f>E12*E17</f>
        <v>280000</v>
      </c>
      <c r="C17" s="39"/>
      <c r="D17" s="40" t="s">
        <v>46</v>
      </c>
      <c r="E17" s="47">
        <f>F137</f>
        <v>0.0999999999999999</v>
      </c>
      <c r="F17" s="48"/>
      <c r="G17" s="49">
        <f t="shared" ref="G17:AK17" si="8">G16/G12</f>
        <v>0.1</v>
      </c>
      <c r="H17" s="49">
        <f t="shared" si="8"/>
        <v>0.1</v>
      </c>
      <c r="I17" s="49">
        <f t="shared" si="8"/>
        <v>0.1</v>
      </c>
      <c r="J17" s="49">
        <f t="shared" si="8"/>
        <v>0.1</v>
      </c>
      <c r="K17" s="49">
        <f t="shared" si="8"/>
        <v>0.1</v>
      </c>
      <c r="L17" s="49">
        <f t="shared" si="8"/>
        <v>0.1</v>
      </c>
      <c r="M17" s="49">
        <f t="shared" si="8"/>
        <v>0.1</v>
      </c>
      <c r="N17" s="49">
        <f t="shared" si="8"/>
        <v>0.1</v>
      </c>
      <c r="O17" s="49">
        <f t="shared" si="8"/>
        <v>0.1</v>
      </c>
      <c r="P17" s="49">
        <f t="shared" si="8"/>
        <v>0.1</v>
      </c>
      <c r="Q17" s="49">
        <f t="shared" si="8"/>
        <v>0.1</v>
      </c>
      <c r="R17" s="49">
        <f t="shared" si="8"/>
        <v>0.1</v>
      </c>
      <c r="S17" s="49">
        <f t="shared" si="8"/>
        <v>0.1</v>
      </c>
      <c r="T17" s="49">
        <f t="shared" si="8"/>
        <v>0.1</v>
      </c>
      <c r="U17" s="49">
        <f t="shared" si="8"/>
        <v>0.1</v>
      </c>
      <c r="V17" s="49">
        <f t="shared" si="8"/>
        <v>0.1</v>
      </c>
      <c r="W17" s="49">
        <f t="shared" si="8"/>
        <v>0.1</v>
      </c>
      <c r="X17" s="49">
        <f t="shared" si="8"/>
        <v>0.1</v>
      </c>
      <c r="Y17" s="49">
        <f t="shared" si="8"/>
        <v>0.1</v>
      </c>
      <c r="Z17" s="49">
        <f t="shared" si="8"/>
        <v>0.1</v>
      </c>
      <c r="AA17" s="49">
        <f t="shared" si="8"/>
        <v>0.1</v>
      </c>
      <c r="AB17" s="49">
        <f t="shared" si="8"/>
        <v>0.1</v>
      </c>
      <c r="AC17" s="49">
        <f t="shared" si="8"/>
        <v>0.1</v>
      </c>
      <c r="AD17" s="49">
        <f t="shared" si="8"/>
        <v>0.1</v>
      </c>
      <c r="AE17" s="49">
        <f t="shared" si="8"/>
        <v>0.1</v>
      </c>
      <c r="AF17" s="49">
        <f t="shared" si="8"/>
        <v>0.1</v>
      </c>
      <c r="AG17" s="49">
        <f t="shared" si="8"/>
        <v>0.1</v>
      </c>
      <c r="AH17" s="49">
        <f t="shared" si="8"/>
        <v>0.1</v>
      </c>
      <c r="AI17" s="49">
        <f t="shared" si="8"/>
        <v>0.1</v>
      </c>
      <c r="AJ17" s="49">
        <f t="shared" si="8"/>
        <v>0.1</v>
      </c>
      <c r="AK17" s="49">
        <f t="shared" si="8"/>
        <v>0.1</v>
      </c>
      <c r="AM17" s="14"/>
      <c r="AN17" s="14"/>
      <c r="AO17" s="14"/>
      <c r="AP17" s="14"/>
      <c r="AQ17" s="14"/>
      <c r="AR17" s="14"/>
      <c r="AS17" s="14"/>
      <c r="AT17" s="14"/>
      <c r="AU17" s="14"/>
      <c r="AV17" s="14"/>
    </row>
    <row r="18" s="4" customFormat="1" ht="19.5" customHeight="1" spans="1:48">
      <c r="C18" s="39"/>
      <c r="D18" s="40" t="s">
        <v>47</v>
      </c>
      <c r="E18" s="47" t="e">
        <f>E15/E13</f>
        <v>#DIV/0!</v>
      </c>
      <c r="F18" s="48"/>
      <c r="G18" s="50" t="e">
        <f t="shared" ref="G18:AJ18" si="9">G15/G13</f>
        <v>#DIV/0!</v>
      </c>
      <c r="H18" s="50" t="e">
        <f t="shared" si="9"/>
        <v>#DIV/0!</v>
      </c>
      <c r="I18" s="50" t="e">
        <f t="shared" si="9"/>
        <v>#DIV/0!</v>
      </c>
      <c r="J18" s="50" t="e">
        <f t="shared" si="9"/>
        <v>#DIV/0!</v>
      </c>
      <c r="K18" s="50" t="e">
        <f t="shared" si="9"/>
        <v>#DIV/0!</v>
      </c>
      <c r="L18" s="50" t="e">
        <f t="shared" si="9"/>
        <v>#DIV/0!</v>
      </c>
      <c r="M18" s="50" t="e">
        <f t="shared" si="9"/>
        <v>#DIV/0!</v>
      </c>
      <c r="N18" s="50" t="e">
        <f t="shared" si="9"/>
        <v>#DIV/0!</v>
      </c>
      <c r="O18" s="50" t="e">
        <f t="shared" si="9"/>
        <v>#DIV/0!</v>
      </c>
      <c r="P18" s="50" t="e">
        <f t="shared" si="9"/>
        <v>#DIV/0!</v>
      </c>
      <c r="Q18" s="50" t="e">
        <f t="shared" si="9"/>
        <v>#DIV/0!</v>
      </c>
      <c r="R18" s="50" t="e">
        <f t="shared" si="9"/>
        <v>#DIV/0!</v>
      </c>
      <c r="S18" s="50" t="e">
        <f t="shared" si="9"/>
        <v>#DIV/0!</v>
      </c>
      <c r="T18" s="50" t="e">
        <f t="shared" si="9"/>
        <v>#DIV/0!</v>
      </c>
      <c r="U18" s="50" t="e">
        <f t="shared" si="9"/>
        <v>#DIV/0!</v>
      </c>
      <c r="V18" s="50" t="e">
        <f t="shared" si="9"/>
        <v>#DIV/0!</v>
      </c>
      <c r="W18" s="50" t="e">
        <f t="shared" si="9"/>
        <v>#DIV/0!</v>
      </c>
      <c r="X18" s="50" t="e">
        <f t="shared" si="9"/>
        <v>#DIV/0!</v>
      </c>
      <c r="Y18" s="50" t="e">
        <f t="shared" si="9"/>
        <v>#DIV/0!</v>
      </c>
      <c r="Z18" s="50" t="e">
        <f t="shared" si="9"/>
        <v>#DIV/0!</v>
      </c>
      <c r="AA18" s="50" t="e">
        <f t="shared" si="9"/>
        <v>#DIV/0!</v>
      </c>
      <c r="AB18" s="50" t="e">
        <f t="shared" si="9"/>
        <v>#DIV/0!</v>
      </c>
      <c r="AC18" s="50" t="e">
        <f t="shared" si="9"/>
        <v>#DIV/0!</v>
      </c>
      <c r="AD18" s="50" t="e">
        <f t="shared" si="9"/>
        <v>#DIV/0!</v>
      </c>
      <c r="AE18" s="50" t="e">
        <f t="shared" si="9"/>
        <v>#DIV/0!</v>
      </c>
      <c r="AF18" s="50" t="e">
        <f t="shared" si="9"/>
        <v>#DIV/0!</v>
      </c>
      <c r="AG18" s="50" t="e">
        <f t="shared" si="9"/>
        <v>#DIV/0!</v>
      </c>
      <c r="AH18" s="50" t="e">
        <f t="shared" si="9"/>
        <v>#DIV/0!</v>
      </c>
      <c r="AI18" s="50" t="e">
        <f t="shared" si="9"/>
        <v>#DIV/0!</v>
      </c>
      <c r="AJ18" s="50" t="e">
        <f t="shared" si="9"/>
        <v>#DIV/0!</v>
      </c>
      <c r="AK18" s="47"/>
      <c r="AM18" s="14"/>
      <c r="AN18" s="14"/>
      <c r="AO18" s="14"/>
      <c r="AP18" s="14"/>
      <c r="AQ18" s="14"/>
      <c r="AR18" s="14"/>
      <c r="AS18" s="14"/>
      <c r="AT18" s="14"/>
      <c r="AU18" s="14"/>
      <c r="AV18" s="14"/>
    </row>
    <row r="19" s="3" customFormat="1" ht="19.5" hidden="1" customHeight="1" spans="1:48">
      <c r="C19" s="31" t="s">
        <v>48</v>
      </c>
      <c r="D19" s="31" t="s">
        <v>41</v>
      </c>
      <c r="E19" s="32">
        <f>SUM(G19:AK19)</f>
        <v>0</v>
      </c>
      <c r="F19" s="33">
        <f>E19/$E$47</f>
        <v>0</v>
      </c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M19" s="35"/>
      <c r="AN19" s="35">
        <f>SUM(J19:P19)</f>
        <v>0</v>
      </c>
      <c r="AO19" s="35"/>
      <c r="AP19" s="35"/>
      <c r="AQ19" s="35"/>
      <c r="AR19" s="35"/>
      <c r="AS19" s="35"/>
      <c r="AT19" s="35"/>
      <c r="AU19" s="35"/>
      <c r="AV19" s="35"/>
    </row>
    <row r="20" s="3" customFormat="1" ht="19.5" hidden="1" customHeight="1" spans="1:48">
      <c r="A20" s="4"/>
      <c r="B20" s="4"/>
      <c r="C20" s="36"/>
      <c r="D20" s="31" t="s">
        <v>42</v>
      </c>
      <c r="E20" s="37">
        <f>SUM(G20:AK20)</f>
        <v>0</v>
      </c>
      <c r="F20" s="33" t="e">
        <f>E20/$E$48</f>
        <v>#DIV/0!</v>
      </c>
      <c r="G20" s="31"/>
      <c r="H20" s="31"/>
      <c r="I20" s="31"/>
      <c r="J20" s="31"/>
      <c r="K20" s="31"/>
      <c r="L20" s="31"/>
      <c r="M20" s="31"/>
      <c r="N20" s="51"/>
      <c r="O20" s="31"/>
      <c r="P20" s="31"/>
      <c r="Q20" s="51"/>
      <c r="R20" s="51"/>
      <c r="S20" s="31"/>
      <c r="T20" s="31"/>
      <c r="U20" s="31"/>
      <c r="V20" s="31"/>
      <c r="W20" s="31"/>
      <c r="X20" s="31"/>
      <c r="Y20" s="31"/>
      <c r="Z20" s="5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M20" s="35"/>
      <c r="AN20" s="35">
        <f>SUM(J20:P20)</f>
        <v>0</v>
      </c>
      <c r="AO20" s="35"/>
      <c r="AP20" s="35"/>
      <c r="AQ20" s="35"/>
      <c r="AR20" s="35"/>
      <c r="AS20" s="35"/>
      <c r="AT20" s="35"/>
      <c r="AU20" s="35"/>
      <c r="AV20" s="35"/>
    </row>
    <row r="21" s="3" customFormat="1" ht="19.5" hidden="1" customHeight="1" spans="1:48">
      <c r="C21" s="36"/>
      <c r="D21" s="31" t="s">
        <v>43</v>
      </c>
      <c r="E21" s="38" t="e">
        <f>E20/E19</f>
        <v>#DIV/0!</v>
      </c>
      <c r="F21" s="31"/>
      <c r="G21" s="33" t="e">
        <f t="shared" ref="G21:AJ21" si="10">G20/G19</f>
        <v>#DIV/0!</v>
      </c>
      <c r="H21" s="33" t="e">
        <f t="shared" si="10"/>
        <v>#DIV/0!</v>
      </c>
      <c r="I21" s="33" t="e">
        <f t="shared" si="10"/>
        <v>#DIV/0!</v>
      </c>
      <c r="J21" s="33" t="e">
        <f t="shared" si="10"/>
        <v>#DIV/0!</v>
      </c>
      <c r="K21" s="33" t="e">
        <f t="shared" si="10"/>
        <v>#DIV/0!</v>
      </c>
      <c r="L21" s="33" t="e">
        <f t="shared" si="10"/>
        <v>#DIV/0!</v>
      </c>
      <c r="M21" s="33" t="e">
        <f t="shared" si="10"/>
        <v>#DIV/0!</v>
      </c>
      <c r="N21" s="33" t="e">
        <f t="shared" si="10"/>
        <v>#DIV/0!</v>
      </c>
      <c r="O21" s="33" t="e">
        <f t="shared" si="10"/>
        <v>#DIV/0!</v>
      </c>
      <c r="P21" s="33" t="e">
        <f t="shared" si="10"/>
        <v>#DIV/0!</v>
      </c>
      <c r="Q21" s="33" t="e">
        <f t="shared" si="10"/>
        <v>#DIV/0!</v>
      </c>
      <c r="R21" s="33" t="e">
        <f t="shared" si="10"/>
        <v>#DIV/0!</v>
      </c>
      <c r="S21" s="33" t="e">
        <f t="shared" si="10"/>
        <v>#DIV/0!</v>
      </c>
      <c r="T21" s="33" t="e">
        <f t="shared" si="10"/>
        <v>#DIV/0!</v>
      </c>
      <c r="U21" s="33" t="e">
        <f t="shared" si="10"/>
        <v>#DIV/0!</v>
      </c>
      <c r="V21" s="33" t="e">
        <f t="shared" si="10"/>
        <v>#DIV/0!</v>
      </c>
      <c r="W21" s="33" t="e">
        <f t="shared" si="10"/>
        <v>#DIV/0!</v>
      </c>
      <c r="X21" s="33" t="e">
        <f t="shared" si="10"/>
        <v>#DIV/0!</v>
      </c>
      <c r="Y21" s="33" t="e">
        <f t="shared" si="10"/>
        <v>#DIV/0!</v>
      </c>
      <c r="Z21" s="33" t="e">
        <f t="shared" si="10"/>
        <v>#DIV/0!</v>
      </c>
      <c r="AA21" s="33" t="e">
        <f t="shared" si="10"/>
        <v>#DIV/0!</v>
      </c>
      <c r="AB21" s="33" t="e">
        <f t="shared" si="10"/>
        <v>#DIV/0!</v>
      </c>
      <c r="AC21" s="33" t="e">
        <f t="shared" si="10"/>
        <v>#DIV/0!</v>
      </c>
      <c r="AD21" s="33" t="e">
        <f t="shared" si="10"/>
        <v>#DIV/0!</v>
      </c>
      <c r="AE21" s="33" t="e">
        <f t="shared" si="10"/>
        <v>#DIV/0!</v>
      </c>
      <c r="AF21" s="33" t="e">
        <f t="shared" si="10"/>
        <v>#DIV/0!</v>
      </c>
      <c r="AG21" s="33" t="e">
        <f t="shared" si="10"/>
        <v>#DIV/0!</v>
      </c>
      <c r="AH21" s="33" t="e">
        <f t="shared" si="10"/>
        <v>#DIV/0!</v>
      </c>
      <c r="AI21" s="33" t="e">
        <f t="shared" si="10"/>
        <v>#DIV/0!</v>
      </c>
      <c r="AJ21" s="33" t="e">
        <f t="shared" si="10"/>
        <v>#DIV/0!</v>
      </c>
      <c r="AK21" s="38"/>
      <c r="AM21" s="35"/>
      <c r="AN21" s="35"/>
      <c r="AO21" s="35"/>
      <c r="AP21" s="35"/>
      <c r="AQ21" s="35"/>
      <c r="AR21" s="35"/>
      <c r="AS21" s="35"/>
      <c r="AT21" s="35"/>
      <c r="AU21" s="35"/>
      <c r="AV21" s="35"/>
    </row>
    <row r="22" s="4" customFormat="1" ht="19.5" hidden="1" customHeight="1" spans="1:48">
      <c r="C22" s="39"/>
      <c r="D22" s="40" t="s">
        <v>49</v>
      </c>
      <c r="E22" s="41">
        <f>SUM(G22:AK22)</f>
        <v>0</v>
      </c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1"/>
      <c r="AM22" s="14"/>
      <c r="AN22" s="14"/>
      <c r="AO22" s="14"/>
      <c r="AP22" s="14"/>
      <c r="AQ22" s="14"/>
      <c r="AR22" s="14"/>
      <c r="AS22" s="14"/>
      <c r="AT22" s="14"/>
      <c r="AU22" s="14"/>
      <c r="AV22" s="14"/>
    </row>
    <row r="23" s="4" customFormat="1" ht="19.5" hidden="1" customHeight="1" spans="1:48">
      <c r="C23" s="39"/>
      <c r="D23" s="40" t="s">
        <v>45</v>
      </c>
      <c r="E23" s="41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1"/>
      <c r="AM23" s="14"/>
      <c r="AN23" s="14"/>
      <c r="AO23" s="14"/>
      <c r="AP23" s="14"/>
      <c r="AQ23" s="14"/>
      <c r="AR23" s="14"/>
      <c r="AS23" s="14"/>
      <c r="AT23" s="14"/>
      <c r="AU23" s="14"/>
      <c r="AV23" s="14"/>
    </row>
    <row r="24" s="4" customFormat="1" ht="19.5" hidden="1" customHeight="1" spans="1:48">
      <c r="C24" s="39"/>
      <c r="D24" s="40" t="s">
        <v>46</v>
      </c>
      <c r="E24" s="52" t="e">
        <f>18600/E19</f>
        <v>#DIV/0!</v>
      </c>
      <c r="F24" s="40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M24" s="14"/>
      <c r="AN24" s="14"/>
      <c r="AO24" s="14"/>
      <c r="AP24" s="14"/>
      <c r="AQ24" s="14"/>
      <c r="AR24" s="14"/>
      <c r="AS24" s="14"/>
      <c r="AT24" s="14"/>
      <c r="AU24" s="14"/>
      <c r="AV24" s="14"/>
    </row>
    <row r="25" s="4" customFormat="1" ht="19.5" hidden="1" customHeight="1" spans="1:48">
      <c r="C25" s="39"/>
      <c r="D25" s="40" t="s">
        <v>47</v>
      </c>
      <c r="E25" s="52" t="e">
        <f>E22/E20</f>
        <v>#DIV/0!</v>
      </c>
      <c r="F25" s="40"/>
      <c r="G25" s="52" t="e">
        <f t="shared" ref="G25:AJ25" si="11">G22/G20</f>
        <v>#DIV/0!</v>
      </c>
      <c r="H25" s="52" t="e">
        <f t="shared" si="11"/>
        <v>#DIV/0!</v>
      </c>
      <c r="I25" s="52" t="e">
        <f t="shared" si="11"/>
        <v>#DIV/0!</v>
      </c>
      <c r="J25" s="52" t="e">
        <f t="shared" si="11"/>
        <v>#DIV/0!</v>
      </c>
      <c r="K25" s="52" t="e">
        <f t="shared" si="11"/>
        <v>#DIV/0!</v>
      </c>
      <c r="L25" s="52" t="e">
        <f t="shared" si="11"/>
        <v>#DIV/0!</v>
      </c>
      <c r="M25" s="52" t="e">
        <f t="shared" si="11"/>
        <v>#DIV/0!</v>
      </c>
      <c r="N25" s="52" t="e">
        <f t="shared" si="11"/>
        <v>#DIV/0!</v>
      </c>
      <c r="O25" s="52" t="e">
        <f t="shared" si="11"/>
        <v>#DIV/0!</v>
      </c>
      <c r="P25" s="52" t="e">
        <f t="shared" si="11"/>
        <v>#DIV/0!</v>
      </c>
      <c r="Q25" s="52" t="e">
        <f t="shared" si="11"/>
        <v>#DIV/0!</v>
      </c>
      <c r="R25" s="52" t="e">
        <f t="shared" si="11"/>
        <v>#DIV/0!</v>
      </c>
      <c r="S25" s="52" t="e">
        <f t="shared" si="11"/>
        <v>#DIV/0!</v>
      </c>
      <c r="T25" s="52" t="e">
        <f t="shared" si="11"/>
        <v>#DIV/0!</v>
      </c>
      <c r="U25" s="52" t="e">
        <f t="shared" si="11"/>
        <v>#DIV/0!</v>
      </c>
      <c r="V25" s="52" t="e">
        <f t="shared" si="11"/>
        <v>#DIV/0!</v>
      </c>
      <c r="W25" s="52" t="e">
        <f t="shared" si="11"/>
        <v>#DIV/0!</v>
      </c>
      <c r="X25" s="52" t="e">
        <f t="shared" si="11"/>
        <v>#DIV/0!</v>
      </c>
      <c r="Y25" s="52" t="e">
        <f t="shared" si="11"/>
        <v>#DIV/0!</v>
      </c>
      <c r="Z25" s="52" t="e">
        <f t="shared" si="11"/>
        <v>#DIV/0!</v>
      </c>
      <c r="AA25" s="52" t="e">
        <f t="shared" si="11"/>
        <v>#DIV/0!</v>
      </c>
      <c r="AB25" s="52" t="e">
        <f t="shared" si="11"/>
        <v>#DIV/0!</v>
      </c>
      <c r="AC25" s="52" t="e">
        <f t="shared" si="11"/>
        <v>#DIV/0!</v>
      </c>
      <c r="AD25" s="52" t="e">
        <f t="shared" si="11"/>
        <v>#DIV/0!</v>
      </c>
      <c r="AE25" s="52" t="e">
        <f t="shared" si="11"/>
        <v>#DIV/0!</v>
      </c>
      <c r="AF25" s="52" t="e">
        <f t="shared" si="11"/>
        <v>#DIV/0!</v>
      </c>
      <c r="AG25" s="52" t="e">
        <f t="shared" si="11"/>
        <v>#DIV/0!</v>
      </c>
      <c r="AH25" s="52" t="e">
        <f t="shared" si="11"/>
        <v>#DIV/0!</v>
      </c>
      <c r="AI25" s="52" t="e">
        <f t="shared" si="11"/>
        <v>#DIV/0!</v>
      </c>
      <c r="AJ25" s="52" t="e">
        <f t="shared" si="11"/>
        <v>#DIV/0!</v>
      </c>
      <c r="AK25" s="48"/>
      <c r="AM25" s="14"/>
      <c r="AN25" s="14"/>
      <c r="AO25" s="14"/>
      <c r="AP25" s="14"/>
      <c r="AQ25" s="14"/>
      <c r="AR25" s="14"/>
      <c r="AS25" s="14"/>
      <c r="AT25" s="14"/>
      <c r="AU25" s="14"/>
      <c r="AV25" s="14"/>
    </row>
    <row r="26" s="3" customFormat="1" ht="19.5" hidden="1" customHeight="1" spans="1:48">
      <c r="C26" s="31" t="s">
        <v>50</v>
      </c>
      <c r="D26" s="31" t="s">
        <v>41</v>
      </c>
      <c r="E26" s="32">
        <f>SUM(G26:AK26)</f>
        <v>0</v>
      </c>
      <c r="F26" s="33">
        <f>E26/$E$47</f>
        <v>0</v>
      </c>
      <c r="G26" s="31"/>
      <c r="H26" s="31"/>
      <c r="I26" s="31"/>
      <c r="J26" s="31"/>
      <c r="K26" s="31"/>
      <c r="L26" s="31"/>
      <c r="M26" s="31"/>
      <c r="N26" s="51"/>
      <c r="O26" s="51"/>
      <c r="P26" s="51"/>
      <c r="Q26" s="51"/>
      <c r="R26" s="5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M26" s="35"/>
      <c r="AN26" s="35">
        <f>SUM(J26:P26)</f>
        <v>0</v>
      </c>
      <c r="AO26" s="35"/>
      <c r="AP26" s="35"/>
      <c r="AQ26" s="35"/>
      <c r="AR26" s="35"/>
      <c r="AS26" s="35"/>
      <c r="AT26" s="35"/>
      <c r="AU26" s="35"/>
      <c r="AV26" s="35"/>
    </row>
    <row r="27" s="3" customFormat="1" ht="19.5" hidden="1" customHeight="1" spans="1:48">
      <c r="C27" s="36"/>
      <c r="D27" s="31" t="s">
        <v>42</v>
      </c>
      <c r="E27" s="37">
        <f>SUM(G27:AK27)</f>
        <v>0</v>
      </c>
      <c r="F27" s="33" t="e">
        <f>E27/$E$48</f>
        <v>#DIV/0!</v>
      </c>
      <c r="G27" s="31"/>
      <c r="H27" s="31"/>
      <c r="I27" s="31"/>
      <c r="J27" s="31"/>
      <c r="K27" s="31"/>
      <c r="L27" s="31"/>
      <c r="M27" s="31"/>
      <c r="N27" s="51"/>
      <c r="O27" s="51"/>
      <c r="P27" s="51"/>
      <c r="Q27" s="51"/>
      <c r="R27" s="5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M27" s="35"/>
      <c r="AN27" s="35">
        <f>SUM(J27:P27)</f>
        <v>0</v>
      </c>
      <c r="AO27" s="35"/>
      <c r="AP27" s="35"/>
      <c r="AQ27" s="35"/>
      <c r="AR27" s="35"/>
      <c r="AS27" s="35"/>
      <c r="AT27" s="35"/>
      <c r="AU27" s="35"/>
      <c r="AV27" s="35"/>
    </row>
    <row r="28" s="3" customFormat="1" ht="19.5" hidden="1" customHeight="1" spans="1:48">
      <c r="C28" s="36"/>
      <c r="D28" s="31" t="s">
        <v>43</v>
      </c>
      <c r="E28" s="38" t="e">
        <f>E27/E26</f>
        <v>#DIV/0!</v>
      </c>
      <c r="F28" s="31"/>
      <c r="G28" s="33" t="e">
        <f t="shared" ref="G28:AJ28" si="12">G27/G26</f>
        <v>#DIV/0!</v>
      </c>
      <c r="H28" s="33" t="e">
        <f t="shared" si="12"/>
        <v>#DIV/0!</v>
      </c>
      <c r="I28" s="33" t="e">
        <f t="shared" si="12"/>
        <v>#DIV/0!</v>
      </c>
      <c r="J28" s="33" t="e">
        <f t="shared" si="12"/>
        <v>#DIV/0!</v>
      </c>
      <c r="K28" s="33" t="e">
        <f t="shared" si="12"/>
        <v>#DIV/0!</v>
      </c>
      <c r="L28" s="33" t="e">
        <f t="shared" si="12"/>
        <v>#DIV/0!</v>
      </c>
      <c r="M28" s="33" t="e">
        <f t="shared" si="12"/>
        <v>#DIV/0!</v>
      </c>
      <c r="N28" s="33" t="e">
        <f t="shared" si="12"/>
        <v>#DIV/0!</v>
      </c>
      <c r="O28" s="33" t="e">
        <f t="shared" si="12"/>
        <v>#DIV/0!</v>
      </c>
      <c r="P28" s="33" t="e">
        <f t="shared" si="12"/>
        <v>#DIV/0!</v>
      </c>
      <c r="Q28" s="33" t="e">
        <f t="shared" si="12"/>
        <v>#DIV/0!</v>
      </c>
      <c r="R28" s="33" t="e">
        <f t="shared" si="12"/>
        <v>#DIV/0!</v>
      </c>
      <c r="S28" s="33" t="e">
        <f t="shared" si="12"/>
        <v>#DIV/0!</v>
      </c>
      <c r="T28" s="33" t="e">
        <f t="shared" si="12"/>
        <v>#DIV/0!</v>
      </c>
      <c r="U28" s="33" t="e">
        <f t="shared" si="12"/>
        <v>#DIV/0!</v>
      </c>
      <c r="V28" s="33" t="e">
        <f t="shared" si="12"/>
        <v>#DIV/0!</v>
      </c>
      <c r="W28" s="33" t="e">
        <f t="shared" si="12"/>
        <v>#DIV/0!</v>
      </c>
      <c r="X28" s="33" t="e">
        <f t="shared" si="12"/>
        <v>#DIV/0!</v>
      </c>
      <c r="Y28" s="33" t="e">
        <f t="shared" si="12"/>
        <v>#DIV/0!</v>
      </c>
      <c r="Z28" s="33" t="e">
        <f t="shared" si="12"/>
        <v>#DIV/0!</v>
      </c>
      <c r="AA28" s="33" t="e">
        <f t="shared" si="12"/>
        <v>#DIV/0!</v>
      </c>
      <c r="AB28" s="33" t="e">
        <f t="shared" si="12"/>
        <v>#DIV/0!</v>
      </c>
      <c r="AC28" s="33" t="e">
        <f t="shared" si="12"/>
        <v>#DIV/0!</v>
      </c>
      <c r="AD28" s="33" t="e">
        <f t="shared" si="12"/>
        <v>#DIV/0!</v>
      </c>
      <c r="AE28" s="33" t="e">
        <f t="shared" si="12"/>
        <v>#DIV/0!</v>
      </c>
      <c r="AF28" s="33" t="e">
        <f t="shared" si="12"/>
        <v>#DIV/0!</v>
      </c>
      <c r="AG28" s="33" t="e">
        <f t="shared" si="12"/>
        <v>#DIV/0!</v>
      </c>
      <c r="AH28" s="33" t="e">
        <f t="shared" si="12"/>
        <v>#DIV/0!</v>
      </c>
      <c r="AI28" s="33" t="e">
        <f t="shared" si="12"/>
        <v>#DIV/0!</v>
      </c>
      <c r="AJ28" s="33" t="e">
        <f t="shared" si="12"/>
        <v>#DIV/0!</v>
      </c>
      <c r="AK28" s="38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</row>
    <row r="29" s="4" customFormat="1" ht="19.5" hidden="1" customHeight="1" spans="1:48">
      <c r="C29" s="39"/>
      <c r="D29" s="40" t="s">
        <v>49</v>
      </c>
      <c r="E29" s="41">
        <f>SUM(G29:AK29)</f>
        <v>0</v>
      </c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</row>
    <row r="30" s="4" customFormat="1" ht="19.5" hidden="1" customHeight="1" spans="1:48">
      <c r="C30" s="39"/>
      <c r="D30" s="40" t="s">
        <v>45</v>
      </c>
      <c r="E30" s="41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</row>
    <row r="31" s="4" customFormat="1" ht="19.5" hidden="1" customHeight="1" spans="1:48">
      <c r="C31" s="39"/>
      <c r="D31" s="40" t="s">
        <v>46</v>
      </c>
      <c r="E31" s="52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</row>
    <row r="32" s="4" customFormat="1" ht="19.5" hidden="1" customHeight="1" spans="1:48">
      <c r="C32" s="39"/>
      <c r="D32" s="40" t="s">
        <v>47</v>
      </c>
      <c r="E32" s="52" t="e">
        <f>E29/E27</f>
        <v>#DIV/0!</v>
      </c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</row>
    <row r="33" s="4" customFormat="1" ht="20.25" hidden="1" customHeight="1" spans="1:48">
      <c r="C33" s="40" t="s">
        <v>51</v>
      </c>
      <c r="D33" s="40" t="s">
        <v>41</v>
      </c>
      <c r="E33" s="53">
        <f>SUM(G33:AK33)</f>
        <v>0</v>
      </c>
      <c r="F33" s="48">
        <f>E33/$E$47</f>
        <v>0</v>
      </c>
      <c r="G33" s="54"/>
      <c r="H33" s="55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</row>
    <row r="34" s="3" customFormat="1" ht="19.5" hidden="1" customHeight="1" spans="1:48">
      <c r="A34" s="4"/>
      <c r="B34" s="4"/>
      <c r="C34" s="36"/>
      <c r="D34" s="31" t="s">
        <v>42</v>
      </c>
      <c r="E34" s="37">
        <f>SUM(G34:AK34)</f>
        <v>0</v>
      </c>
      <c r="F34" s="33" t="e">
        <f>E34/$E$48</f>
        <v>#DIV/0!</v>
      </c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</row>
    <row r="35" s="4" customFormat="1" ht="19.5" hidden="1" customHeight="1" spans="1:48">
      <c r="C35" s="39"/>
      <c r="D35" s="40" t="s">
        <v>43</v>
      </c>
      <c r="E35" s="52" t="e">
        <f>E34/E33</f>
        <v>#DIV/0!</v>
      </c>
      <c r="F35" s="40"/>
      <c r="G35" s="58" t="e">
        <f t="shared" ref="G35:AJ35" si="13">G34/G33</f>
        <v>#DIV/0!</v>
      </c>
      <c r="H35" s="33" t="e">
        <f t="shared" si="13"/>
        <v>#DIV/0!</v>
      </c>
      <c r="I35" s="48" t="e">
        <f t="shared" si="13"/>
        <v>#DIV/0!</v>
      </c>
      <c r="J35" s="48" t="e">
        <f t="shared" si="13"/>
        <v>#DIV/0!</v>
      </c>
      <c r="K35" s="48" t="e">
        <f t="shared" si="13"/>
        <v>#DIV/0!</v>
      </c>
      <c r="L35" s="48" t="e">
        <f t="shared" si="13"/>
        <v>#DIV/0!</v>
      </c>
      <c r="M35" s="48" t="e">
        <f t="shared" si="13"/>
        <v>#DIV/0!</v>
      </c>
      <c r="N35" s="48" t="e">
        <f t="shared" si="13"/>
        <v>#DIV/0!</v>
      </c>
      <c r="O35" s="48" t="e">
        <f t="shared" si="13"/>
        <v>#DIV/0!</v>
      </c>
      <c r="P35" s="48" t="e">
        <f t="shared" si="13"/>
        <v>#DIV/0!</v>
      </c>
      <c r="Q35" s="48" t="e">
        <f t="shared" si="13"/>
        <v>#DIV/0!</v>
      </c>
      <c r="R35" s="48" t="e">
        <f t="shared" si="13"/>
        <v>#DIV/0!</v>
      </c>
      <c r="S35" s="48" t="e">
        <f t="shared" si="13"/>
        <v>#DIV/0!</v>
      </c>
      <c r="T35" s="48" t="e">
        <f t="shared" si="13"/>
        <v>#DIV/0!</v>
      </c>
      <c r="U35" s="48" t="e">
        <f t="shared" si="13"/>
        <v>#DIV/0!</v>
      </c>
      <c r="V35" s="48" t="e">
        <f t="shared" si="13"/>
        <v>#DIV/0!</v>
      </c>
      <c r="W35" s="48" t="e">
        <f t="shared" si="13"/>
        <v>#DIV/0!</v>
      </c>
      <c r="X35" s="48" t="e">
        <f t="shared" si="13"/>
        <v>#DIV/0!</v>
      </c>
      <c r="Y35" s="48" t="e">
        <f t="shared" si="13"/>
        <v>#DIV/0!</v>
      </c>
      <c r="Z35" s="48" t="e">
        <f t="shared" si="13"/>
        <v>#DIV/0!</v>
      </c>
      <c r="AA35" s="48" t="e">
        <f t="shared" si="13"/>
        <v>#DIV/0!</v>
      </c>
      <c r="AB35" s="48" t="e">
        <f t="shared" si="13"/>
        <v>#DIV/0!</v>
      </c>
      <c r="AC35" s="48" t="e">
        <f t="shared" si="13"/>
        <v>#DIV/0!</v>
      </c>
      <c r="AD35" s="48" t="e">
        <f t="shared" si="13"/>
        <v>#DIV/0!</v>
      </c>
      <c r="AE35" s="48" t="e">
        <f t="shared" si="13"/>
        <v>#DIV/0!</v>
      </c>
      <c r="AF35" s="48" t="e">
        <f t="shared" si="13"/>
        <v>#DIV/0!</v>
      </c>
      <c r="AG35" s="48" t="e">
        <f t="shared" si="13"/>
        <v>#DIV/0!</v>
      </c>
      <c r="AH35" s="48" t="e">
        <f t="shared" si="13"/>
        <v>#DIV/0!</v>
      </c>
      <c r="AI35" s="48" t="e">
        <f t="shared" si="13"/>
        <v>#DIV/0!</v>
      </c>
      <c r="AJ35" s="48" t="e">
        <f t="shared" si="13"/>
        <v>#DIV/0!</v>
      </c>
      <c r="AK35" s="48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</row>
    <row r="36" s="4" customFormat="1" ht="19.5" hidden="1" customHeight="1" spans="1:48">
      <c r="C36" s="39"/>
      <c r="D36" s="40" t="s">
        <v>49</v>
      </c>
      <c r="E36" s="41" t="e">
        <f>SUM(G36:AK36)</f>
        <v>#REF!</v>
      </c>
      <c r="F36" s="40"/>
      <c r="G36" s="59" t="e">
        <f t="shared" ref="G36:AJ36" si="14">J383</f>
        <v>#REF!</v>
      </c>
      <c r="H36" s="59" t="e">
        <f t="shared" si="14"/>
        <v>#REF!</v>
      </c>
      <c r="I36" s="59" t="e">
        <f t="shared" si="14"/>
        <v>#REF!</v>
      </c>
      <c r="J36" s="59" t="e">
        <f t="shared" si="14"/>
        <v>#REF!</v>
      </c>
      <c r="K36" s="59" t="e">
        <f t="shared" si="14"/>
        <v>#REF!</v>
      </c>
      <c r="L36" s="59" t="e">
        <f t="shared" si="14"/>
        <v>#REF!</v>
      </c>
      <c r="M36" s="59" t="e">
        <f t="shared" si="14"/>
        <v>#REF!</v>
      </c>
      <c r="N36" s="59" t="e">
        <f t="shared" si="14"/>
        <v>#REF!</v>
      </c>
      <c r="O36" s="59" t="e">
        <f t="shared" si="14"/>
        <v>#REF!</v>
      </c>
      <c r="P36" s="59" t="e">
        <f t="shared" si="14"/>
        <v>#REF!</v>
      </c>
      <c r="Q36" s="59" t="e">
        <f t="shared" si="14"/>
        <v>#REF!</v>
      </c>
      <c r="R36" s="59" t="e">
        <f t="shared" si="14"/>
        <v>#REF!</v>
      </c>
      <c r="S36" s="59" t="e">
        <f t="shared" si="14"/>
        <v>#REF!</v>
      </c>
      <c r="T36" s="59" t="e">
        <f t="shared" si="14"/>
        <v>#REF!</v>
      </c>
      <c r="U36" s="59" t="e">
        <f t="shared" si="14"/>
        <v>#REF!</v>
      </c>
      <c r="V36" s="59" t="e">
        <f t="shared" si="14"/>
        <v>#REF!</v>
      </c>
      <c r="W36" s="59" t="e">
        <f t="shared" si="14"/>
        <v>#REF!</v>
      </c>
      <c r="X36" s="59" t="e">
        <f t="shared" si="14"/>
        <v>#REF!</v>
      </c>
      <c r="Y36" s="59" t="e">
        <f t="shared" si="14"/>
        <v>#REF!</v>
      </c>
      <c r="Z36" s="59" t="e">
        <f t="shared" si="14"/>
        <v>#REF!</v>
      </c>
      <c r="AA36" s="59" t="e">
        <f t="shared" si="14"/>
        <v>#REF!</v>
      </c>
      <c r="AB36" s="59" t="e">
        <f t="shared" si="14"/>
        <v>#REF!</v>
      </c>
      <c r="AC36" s="59" t="e">
        <f t="shared" si="14"/>
        <v>#REF!</v>
      </c>
      <c r="AD36" s="59" t="e">
        <f t="shared" si="14"/>
        <v>#REF!</v>
      </c>
      <c r="AE36" s="59" t="e">
        <f t="shared" si="14"/>
        <v>#REF!</v>
      </c>
      <c r="AF36" s="59" t="e">
        <f t="shared" si="14"/>
        <v>#REF!</v>
      </c>
      <c r="AG36" s="59" t="e">
        <f t="shared" si="14"/>
        <v>#REF!</v>
      </c>
      <c r="AH36" s="59" t="e">
        <f t="shared" si="14"/>
        <v>#REF!</v>
      </c>
      <c r="AI36" s="59" t="e">
        <f t="shared" si="14"/>
        <v>#REF!</v>
      </c>
      <c r="AJ36" s="59" t="e">
        <f t="shared" si="14"/>
        <v>#REF!</v>
      </c>
      <c r="AK36" s="40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</row>
    <row r="37" s="4" customFormat="1" ht="19.5" hidden="1" customHeight="1" spans="1:48">
      <c r="C37" s="39"/>
      <c r="D37" s="40" t="s">
        <v>45</v>
      </c>
      <c r="E37" s="41"/>
      <c r="F37" s="40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40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</row>
    <row r="38" s="4" customFormat="1" ht="19.5" hidden="1" customHeight="1" spans="1:48">
      <c r="B38" s="46">
        <f>E33*E38</f>
        <v>0</v>
      </c>
      <c r="C38" s="39"/>
      <c r="D38" s="40" t="s">
        <v>46</v>
      </c>
      <c r="E38" s="52">
        <f>F210</f>
        <v>0.23</v>
      </c>
      <c r="F38" s="40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48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</row>
    <row r="39" s="4" customFormat="1" ht="19.5" hidden="1" customHeight="1" spans="1:48">
      <c r="C39" s="39"/>
      <c r="D39" s="40" t="s">
        <v>47</v>
      </c>
      <c r="E39" s="58">
        <f>IFERROR(E36/E34,0)</f>
        <v>0</v>
      </c>
      <c r="F39" s="40"/>
      <c r="G39" s="58">
        <f t="shared" ref="G39:AJ39" si="15">IFERROR(G36/G34,0)</f>
        <v>0</v>
      </c>
      <c r="H39" s="58">
        <f t="shared" si="15"/>
        <v>0</v>
      </c>
      <c r="I39" s="58">
        <f t="shared" si="15"/>
        <v>0</v>
      </c>
      <c r="J39" s="58">
        <f t="shared" si="15"/>
        <v>0</v>
      </c>
      <c r="K39" s="58">
        <f t="shared" si="15"/>
        <v>0</v>
      </c>
      <c r="L39" s="58">
        <f t="shared" si="15"/>
        <v>0</v>
      </c>
      <c r="M39" s="58">
        <f t="shared" si="15"/>
        <v>0</v>
      </c>
      <c r="N39" s="58">
        <f t="shared" si="15"/>
        <v>0</v>
      </c>
      <c r="O39" s="58">
        <f t="shared" si="15"/>
        <v>0</v>
      </c>
      <c r="P39" s="58">
        <f t="shared" si="15"/>
        <v>0</v>
      </c>
      <c r="Q39" s="58">
        <f t="shared" si="15"/>
        <v>0</v>
      </c>
      <c r="R39" s="58">
        <f t="shared" si="15"/>
        <v>0</v>
      </c>
      <c r="S39" s="58">
        <f t="shared" si="15"/>
        <v>0</v>
      </c>
      <c r="T39" s="58">
        <f t="shared" si="15"/>
        <v>0</v>
      </c>
      <c r="U39" s="58">
        <f t="shared" si="15"/>
        <v>0</v>
      </c>
      <c r="V39" s="58">
        <f t="shared" si="15"/>
        <v>0</v>
      </c>
      <c r="W39" s="58">
        <f t="shared" si="15"/>
        <v>0</v>
      </c>
      <c r="X39" s="58">
        <f t="shared" si="15"/>
        <v>0</v>
      </c>
      <c r="Y39" s="58">
        <f t="shared" si="15"/>
        <v>0</v>
      </c>
      <c r="Z39" s="58">
        <f t="shared" si="15"/>
        <v>0</v>
      </c>
      <c r="AA39" s="58">
        <f t="shared" si="15"/>
        <v>0</v>
      </c>
      <c r="AB39" s="58">
        <f t="shared" si="15"/>
        <v>0</v>
      </c>
      <c r="AC39" s="58">
        <f t="shared" si="15"/>
        <v>0</v>
      </c>
      <c r="AD39" s="58">
        <f t="shared" si="15"/>
        <v>0</v>
      </c>
      <c r="AE39" s="58">
        <f t="shared" si="15"/>
        <v>0</v>
      </c>
      <c r="AF39" s="58">
        <f t="shared" si="15"/>
        <v>0</v>
      </c>
      <c r="AG39" s="58">
        <f t="shared" si="15"/>
        <v>0</v>
      </c>
      <c r="AH39" s="58">
        <f t="shared" si="15"/>
        <v>0</v>
      </c>
      <c r="AI39" s="58">
        <f t="shared" si="15"/>
        <v>0</v>
      </c>
      <c r="AJ39" s="58">
        <f t="shared" si="15"/>
        <v>0</v>
      </c>
      <c r="AK39" s="48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</row>
    <row r="40" s="4" customFormat="1" ht="20.25" customHeight="1" spans="1:48">
      <c r="B40" s="4">
        <v>500000</v>
      </c>
      <c r="C40" s="40" t="s">
        <v>52</v>
      </c>
      <c r="D40" s="40" t="s">
        <v>41</v>
      </c>
      <c r="E40" s="53">
        <v>500000</v>
      </c>
      <c r="F40" s="48">
        <f>E40/$E$47</f>
        <v>0.151515151515151</v>
      </c>
      <c r="G40" s="54">
        <f t="shared" ref="G40:AK40" si="16">$E$40*G8</f>
        <v>15000</v>
      </c>
      <c r="H40" s="54">
        <f t="shared" si="16"/>
        <v>15000</v>
      </c>
      <c r="I40" s="54">
        <f t="shared" si="16"/>
        <v>15000</v>
      </c>
      <c r="J40" s="54">
        <f t="shared" si="16"/>
        <v>15000</v>
      </c>
      <c r="K40" s="54">
        <f t="shared" si="16"/>
        <v>15000</v>
      </c>
      <c r="L40" s="54">
        <f t="shared" si="16"/>
        <v>10000</v>
      </c>
      <c r="M40" s="54">
        <f t="shared" si="16"/>
        <v>30000</v>
      </c>
      <c r="N40" s="54">
        <f t="shared" si="16"/>
        <v>15000</v>
      </c>
      <c r="O40" s="54">
        <f t="shared" si="16"/>
        <v>20000</v>
      </c>
      <c r="P40" s="54">
        <f t="shared" si="16"/>
        <v>15000</v>
      </c>
      <c r="Q40" s="54">
        <f t="shared" si="16"/>
        <v>15000</v>
      </c>
      <c r="R40" s="54">
        <f t="shared" si="16"/>
        <v>15000</v>
      </c>
      <c r="S40" s="54">
        <f t="shared" si="16"/>
        <v>15000</v>
      </c>
      <c r="T40" s="54">
        <f t="shared" si="16"/>
        <v>15000</v>
      </c>
      <c r="U40" s="54">
        <f t="shared" si="16"/>
        <v>15000</v>
      </c>
      <c r="V40" s="54">
        <f t="shared" si="16"/>
        <v>15000</v>
      </c>
      <c r="W40" s="54">
        <f t="shared" si="16"/>
        <v>30000</v>
      </c>
      <c r="X40" s="54">
        <f t="shared" si="16"/>
        <v>15000</v>
      </c>
      <c r="Y40" s="54">
        <f t="shared" si="16"/>
        <v>20000</v>
      </c>
      <c r="Z40" s="54">
        <f t="shared" si="16"/>
        <v>10000</v>
      </c>
      <c r="AA40" s="54">
        <f t="shared" si="16"/>
        <v>15000</v>
      </c>
      <c r="AB40" s="54">
        <f t="shared" si="16"/>
        <v>15000</v>
      </c>
      <c r="AC40" s="54">
        <f t="shared" si="16"/>
        <v>15000</v>
      </c>
      <c r="AD40" s="54">
        <f t="shared" si="16"/>
        <v>10000</v>
      </c>
      <c r="AE40" s="54">
        <f t="shared" si="16"/>
        <v>20000</v>
      </c>
      <c r="AF40" s="54">
        <f t="shared" si="16"/>
        <v>20000</v>
      </c>
      <c r="AG40" s="54">
        <f t="shared" si="16"/>
        <v>15000</v>
      </c>
      <c r="AH40" s="54">
        <f t="shared" si="16"/>
        <v>20000</v>
      </c>
      <c r="AI40" s="54">
        <f t="shared" si="16"/>
        <v>15000</v>
      </c>
      <c r="AJ40" s="54">
        <f t="shared" si="16"/>
        <v>15000</v>
      </c>
      <c r="AK40" s="54">
        <f t="shared" si="16"/>
        <v>10000</v>
      </c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</row>
    <row r="41" s="3" customFormat="1" ht="19.5" customHeight="1" spans="1:48">
      <c r="A41" s="4"/>
      <c r="B41" s="4"/>
      <c r="C41" s="36"/>
      <c r="D41" s="31" t="s">
        <v>42</v>
      </c>
      <c r="E41" s="60">
        <f>SUM(G41:AK41)</f>
        <v>0</v>
      </c>
      <c r="F41" s="33" t="e">
        <f>E41/$E$48</f>
        <v>#DIV/0!</v>
      </c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</row>
    <row r="42" s="4" customFormat="1" ht="19.5" customHeight="1" spans="1:48">
      <c r="C42" s="39"/>
      <c r="D42" s="40" t="s">
        <v>43</v>
      </c>
      <c r="E42" s="52">
        <f>E41/E40</f>
        <v>0</v>
      </c>
      <c r="F42" s="40"/>
      <c r="G42" s="58">
        <f t="shared" ref="G42:AJ42" si="17">G41/G40</f>
        <v>0</v>
      </c>
      <c r="H42" s="33">
        <f t="shared" si="17"/>
        <v>0</v>
      </c>
      <c r="I42" s="48">
        <f t="shared" si="17"/>
        <v>0</v>
      </c>
      <c r="J42" s="48">
        <f t="shared" si="17"/>
        <v>0</v>
      </c>
      <c r="K42" s="48">
        <f t="shared" si="17"/>
        <v>0</v>
      </c>
      <c r="L42" s="48">
        <f t="shared" si="17"/>
        <v>0</v>
      </c>
      <c r="M42" s="48">
        <f t="shared" si="17"/>
        <v>0</v>
      </c>
      <c r="N42" s="48">
        <f t="shared" si="17"/>
        <v>0</v>
      </c>
      <c r="O42" s="48">
        <f t="shared" si="17"/>
        <v>0</v>
      </c>
      <c r="P42" s="48">
        <f t="shared" si="17"/>
        <v>0</v>
      </c>
      <c r="Q42" s="48">
        <f t="shared" si="17"/>
        <v>0</v>
      </c>
      <c r="R42" s="48">
        <f t="shared" si="17"/>
        <v>0</v>
      </c>
      <c r="S42" s="48">
        <f t="shared" si="17"/>
        <v>0</v>
      </c>
      <c r="T42" s="48">
        <f t="shared" si="17"/>
        <v>0</v>
      </c>
      <c r="U42" s="48">
        <f t="shared" si="17"/>
        <v>0</v>
      </c>
      <c r="V42" s="48">
        <f t="shared" si="17"/>
        <v>0</v>
      </c>
      <c r="W42" s="48">
        <f t="shared" si="17"/>
        <v>0</v>
      </c>
      <c r="X42" s="48">
        <f t="shared" si="17"/>
        <v>0</v>
      </c>
      <c r="Y42" s="48">
        <f t="shared" si="17"/>
        <v>0</v>
      </c>
      <c r="Z42" s="48">
        <f t="shared" si="17"/>
        <v>0</v>
      </c>
      <c r="AA42" s="48">
        <f t="shared" si="17"/>
        <v>0</v>
      </c>
      <c r="AB42" s="48">
        <f t="shared" si="17"/>
        <v>0</v>
      </c>
      <c r="AC42" s="48">
        <f t="shared" si="17"/>
        <v>0</v>
      </c>
      <c r="AD42" s="48">
        <f t="shared" si="17"/>
        <v>0</v>
      </c>
      <c r="AE42" s="48">
        <f t="shared" si="17"/>
        <v>0</v>
      </c>
      <c r="AF42" s="48">
        <f t="shared" si="17"/>
        <v>0</v>
      </c>
      <c r="AG42" s="48">
        <f t="shared" si="17"/>
        <v>0</v>
      </c>
      <c r="AH42" s="48">
        <f t="shared" si="17"/>
        <v>0</v>
      </c>
      <c r="AI42" s="48">
        <f t="shared" si="17"/>
        <v>0</v>
      </c>
      <c r="AJ42" s="48">
        <f t="shared" si="17"/>
        <v>0</v>
      </c>
      <c r="AK42" s="48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</row>
    <row r="43" s="4" customFormat="1" ht="19.5" customHeight="1" spans="1:48">
      <c r="C43" s="39"/>
      <c r="D43" s="40" t="s">
        <v>44</v>
      </c>
      <c r="E43" s="41">
        <f>SUM(G43:AK43)</f>
        <v>0</v>
      </c>
      <c r="F43" s="40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40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</row>
    <row r="44" s="4" customFormat="1" ht="19.5" customHeight="1" spans="1:48">
      <c r="B44" s="4">
        <v>65000</v>
      </c>
      <c r="C44" s="39"/>
      <c r="D44" s="63" t="s">
        <v>45</v>
      </c>
      <c r="E44" s="64">
        <f>SUM(G44:AK44)</f>
        <v>65000</v>
      </c>
      <c r="F44" s="40"/>
      <c r="G44" s="62">
        <f t="shared" ref="G44:AK44" si="18">$B$44*G8</f>
        <v>1950</v>
      </c>
      <c r="H44" s="62">
        <f t="shared" si="18"/>
        <v>1950</v>
      </c>
      <c r="I44" s="62">
        <f t="shared" si="18"/>
        <v>1950</v>
      </c>
      <c r="J44" s="62">
        <f t="shared" si="18"/>
        <v>1950</v>
      </c>
      <c r="K44" s="62">
        <f t="shared" si="18"/>
        <v>1950</v>
      </c>
      <c r="L44" s="62">
        <f t="shared" si="18"/>
        <v>1300</v>
      </c>
      <c r="M44" s="62">
        <f t="shared" si="18"/>
        <v>3900</v>
      </c>
      <c r="N44" s="62">
        <f t="shared" si="18"/>
        <v>1950</v>
      </c>
      <c r="O44" s="62">
        <f t="shared" si="18"/>
        <v>2600</v>
      </c>
      <c r="P44" s="62">
        <f t="shared" si="18"/>
        <v>1950</v>
      </c>
      <c r="Q44" s="62">
        <f t="shared" si="18"/>
        <v>1950</v>
      </c>
      <c r="R44" s="62">
        <f t="shared" si="18"/>
        <v>1950</v>
      </c>
      <c r="S44" s="62">
        <f t="shared" si="18"/>
        <v>1950</v>
      </c>
      <c r="T44" s="62">
        <f t="shared" si="18"/>
        <v>1950</v>
      </c>
      <c r="U44" s="62">
        <f t="shared" si="18"/>
        <v>1950</v>
      </c>
      <c r="V44" s="62">
        <f t="shared" si="18"/>
        <v>1950</v>
      </c>
      <c r="W44" s="62">
        <f t="shared" si="18"/>
        <v>3900</v>
      </c>
      <c r="X44" s="62">
        <f t="shared" si="18"/>
        <v>1950</v>
      </c>
      <c r="Y44" s="62">
        <f t="shared" si="18"/>
        <v>2600</v>
      </c>
      <c r="Z44" s="62">
        <f t="shared" si="18"/>
        <v>1300</v>
      </c>
      <c r="AA44" s="62">
        <f t="shared" si="18"/>
        <v>1950</v>
      </c>
      <c r="AB44" s="62">
        <f t="shared" si="18"/>
        <v>1950</v>
      </c>
      <c r="AC44" s="62">
        <f t="shared" si="18"/>
        <v>1950</v>
      </c>
      <c r="AD44" s="62">
        <f t="shared" si="18"/>
        <v>1300</v>
      </c>
      <c r="AE44" s="62">
        <f t="shared" si="18"/>
        <v>2600</v>
      </c>
      <c r="AF44" s="62">
        <f t="shared" si="18"/>
        <v>2600</v>
      </c>
      <c r="AG44" s="62">
        <f t="shared" si="18"/>
        <v>1950</v>
      </c>
      <c r="AH44" s="62">
        <f t="shared" si="18"/>
        <v>2600</v>
      </c>
      <c r="AI44" s="62">
        <f t="shared" si="18"/>
        <v>1950</v>
      </c>
      <c r="AJ44" s="62">
        <f t="shared" si="18"/>
        <v>1950</v>
      </c>
      <c r="AK44" s="62">
        <f t="shared" si="18"/>
        <v>1300</v>
      </c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</row>
    <row r="45" s="4" customFormat="1" ht="19.5" customHeight="1" spans="1:48">
      <c r="C45" s="39"/>
      <c r="D45" s="40" t="s">
        <v>46</v>
      </c>
      <c r="E45" s="52">
        <f>F307</f>
        <v>0.13</v>
      </c>
      <c r="F45" s="40"/>
      <c r="G45" s="58">
        <f t="shared" ref="G45:AK45" si="19">G44/G40</f>
        <v>0.13</v>
      </c>
      <c r="H45" s="58">
        <f t="shared" si="19"/>
        <v>0.13</v>
      </c>
      <c r="I45" s="58">
        <f t="shared" si="19"/>
        <v>0.13</v>
      </c>
      <c r="J45" s="58">
        <f t="shared" si="19"/>
        <v>0.13</v>
      </c>
      <c r="K45" s="58">
        <f t="shared" si="19"/>
        <v>0.13</v>
      </c>
      <c r="L45" s="58">
        <f t="shared" si="19"/>
        <v>0.13</v>
      </c>
      <c r="M45" s="58">
        <f t="shared" si="19"/>
        <v>0.13</v>
      </c>
      <c r="N45" s="58">
        <f t="shared" si="19"/>
        <v>0.13</v>
      </c>
      <c r="O45" s="58">
        <f t="shared" si="19"/>
        <v>0.13</v>
      </c>
      <c r="P45" s="58">
        <f t="shared" si="19"/>
        <v>0.13</v>
      </c>
      <c r="Q45" s="58">
        <f t="shared" si="19"/>
        <v>0.13</v>
      </c>
      <c r="R45" s="58">
        <f t="shared" si="19"/>
        <v>0.13</v>
      </c>
      <c r="S45" s="58">
        <f t="shared" si="19"/>
        <v>0.13</v>
      </c>
      <c r="T45" s="58">
        <f t="shared" si="19"/>
        <v>0.13</v>
      </c>
      <c r="U45" s="58">
        <f t="shared" si="19"/>
        <v>0.13</v>
      </c>
      <c r="V45" s="58">
        <f t="shared" si="19"/>
        <v>0.13</v>
      </c>
      <c r="W45" s="58">
        <f t="shared" si="19"/>
        <v>0.13</v>
      </c>
      <c r="X45" s="58">
        <f t="shared" si="19"/>
        <v>0.13</v>
      </c>
      <c r="Y45" s="58">
        <f t="shared" si="19"/>
        <v>0.13</v>
      </c>
      <c r="Z45" s="58">
        <f t="shared" si="19"/>
        <v>0.13</v>
      </c>
      <c r="AA45" s="58">
        <f t="shared" si="19"/>
        <v>0.13</v>
      </c>
      <c r="AB45" s="58">
        <f t="shared" si="19"/>
        <v>0.13</v>
      </c>
      <c r="AC45" s="58">
        <f t="shared" si="19"/>
        <v>0.13</v>
      </c>
      <c r="AD45" s="58">
        <f t="shared" si="19"/>
        <v>0.13</v>
      </c>
      <c r="AE45" s="58">
        <f t="shared" si="19"/>
        <v>0.13</v>
      </c>
      <c r="AF45" s="58">
        <f t="shared" si="19"/>
        <v>0.13</v>
      </c>
      <c r="AG45" s="58">
        <f t="shared" si="19"/>
        <v>0.13</v>
      </c>
      <c r="AH45" s="58">
        <f t="shared" si="19"/>
        <v>0.13</v>
      </c>
      <c r="AI45" s="58">
        <f t="shared" si="19"/>
        <v>0.13</v>
      </c>
      <c r="AJ45" s="58">
        <f t="shared" si="19"/>
        <v>0.13</v>
      </c>
      <c r="AK45" s="58">
        <f t="shared" si="19"/>
        <v>0.13</v>
      </c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</row>
    <row r="46" s="4" customFormat="1" ht="19.5" customHeight="1" spans="1:48">
      <c r="C46" s="39"/>
      <c r="D46" s="40" t="s">
        <v>47</v>
      </c>
      <c r="E46" s="58">
        <f>IFERROR(E43/E41,0)</f>
        <v>0</v>
      </c>
      <c r="F46" s="40"/>
      <c r="G46" s="58">
        <f t="shared" ref="G46:AJ46" si="20">IFERROR(G43/G41,0)</f>
        <v>0</v>
      </c>
      <c r="H46" s="58">
        <f t="shared" si="20"/>
        <v>0</v>
      </c>
      <c r="I46" s="58">
        <f t="shared" si="20"/>
        <v>0</v>
      </c>
      <c r="J46" s="58">
        <f t="shared" si="20"/>
        <v>0</v>
      </c>
      <c r="K46" s="58">
        <f t="shared" si="20"/>
        <v>0</v>
      </c>
      <c r="L46" s="58">
        <f t="shared" si="20"/>
        <v>0</v>
      </c>
      <c r="M46" s="58">
        <f t="shared" si="20"/>
        <v>0</v>
      </c>
      <c r="N46" s="58">
        <f t="shared" si="20"/>
        <v>0</v>
      </c>
      <c r="O46" s="58">
        <f t="shared" si="20"/>
        <v>0</v>
      </c>
      <c r="P46" s="58">
        <f t="shared" si="20"/>
        <v>0</v>
      </c>
      <c r="Q46" s="58">
        <f t="shared" si="20"/>
        <v>0</v>
      </c>
      <c r="R46" s="58">
        <f t="shared" si="20"/>
        <v>0</v>
      </c>
      <c r="S46" s="58">
        <f t="shared" si="20"/>
        <v>0</v>
      </c>
      <c r="T46" s="58">
        <f t="shared" si="20"/>
        <v>0</v>
      </c>
      <c r="U46" s="58">
        <f t="shared" si="20"/>
        <v>0</v>
      </c>
      <c r="V46" s="58">
        <f t="shared" si="20"/>
        <v>0</v>
      </c>
      <c r="W46" s="58">
        <f t="shared" si="20"/>
        <v>0</v>
      </c>
      <c r="X46" s="58">
        <f t="shared" si="20"/>
        <v>0</v>
      </c>
      <c r="Y46" s="58">
        <f t="shared" si="20"/>
        <v>0</v>
      </c>
      <c r="Z46" s="58">
        <f t="shared" si="20"/>
        <v>0</v>
      </c>
      <c r="AA46" s="58">
        <f t="shared" si="20"/>
        <v>0</v>
      </c>
      <c r="AB46" s="58">
        <f t="shared" si="20"/>
        <v>0</v>
      </c>
      <c r="AC46" s="58">
        <f t="shared" si="20"/>
        <v>0</v>
      </c>
      <c r="AD46" s="58">
        <f t="shared" si="20"/>
        <v>0</v>
      </c>
      <c r="AE46" s="58">
        <f t="shared" si="20"/>
        <v>0</v>
      </c>
      <c r="AF46" s="58">
        <f t="shared" si="20"/>
        <v>0</v>
      </c>
      <c r="AG46" s="58">
        <f t="shared" si="20"/>
        <v>0</v>
      </c>
      <c r="AH46" s="58">
        <f t="shared" si="20"/>
        <v>0</v>
      </c>
      <c r="AI46" s="58">
        <f t="shared" si="20"/>
        <v>0</v>
      </c>
      <c r="AJ46" s="58">
        <f t="shared" si="20"/>
        <v>0</v>
      </c>
      <c r="AK46" s="48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</row>
    <row r="47" s="4" customFormat="1" ht="19.5" customHeight="1" spans="1:48">
      <c r="C47" s="31" t="s">
        <v>38</v>
      </c>
      <c r="D47" s="31" t="s">
        <v>41</v>
      </c>
      <c r="E47" s="65">
        <f>SUM(G47:AK47)</f>
        <v>3300000</v>
      </c>
      <c r="F47" s="48"/>
      <c r="G47" s="57">
        <f t="shared" ref="G47:AK47" si="21">G12+G19+G26+G33+G40</f>
        <v>105555.466573707</v>
      </c>
      <c r="H47" s="66">
        <f t="shared" si="21"/>
        <v>101928.547385118</v>
      </c>
      <c r="I47" s="66">
        <f t="shared" si="21"/>
        <v>106709.813346535</v>
      </c>
      <c r="J47" s="66">
        <f t="shared" si="21"/>
        <v>106084.675412773</v>
      </c>
      <c r="K47" s="66">
        <f t="shared" si="21"/>
        <v>99958.0038982615</v>
      </c>
      <c r="L47" s="66">
        <f t="shared" si="21"/>
        <v>100464.333933747</v>
      </c>
      <c r="M47" s="66">
        <f t="shared" si="21"/>
        <v>122422.886283767</v>
      </c>
      <c r="N47" s="66">
        <f t="shared" si="21"/>
        <v>104305.190706184</v>
      </c>
      <c r="O47" s="66">
        <f t="shared" si="21"/>
        <v>106632.766009809</v>
      </c>
      <c r="P47" s="66">
        <f t="shared" si="21"/>
        <v>105278.071608214</v>
      </c>
      <c r="Q47" s="66">
        <f t="shared" si="21"/>
        <v>120100.715556816</v>
      </c>
      <c r="R47" s="66">
        <f t="shared" si="21"/>
        <v>109251.934355949</v>
      </c>
      <c r="S47" s="66">
        <f t="shared" si="21"/>
        <v>100553.563694492</v>
      </c>
      <c r="T47" s="66">
        <f t="shared" si="21"/>
        <v>91839.2048505862</v>
      </c>
      <c r="U47" s="66">
        <f t="shared" si="21"/>
        <v>141293.850802278</v>
      </c>
      <c r="V47" s="66">
        <f t="shared" si="21"/>
        <v>102510.517226267</v>
      </c>
      <c r="W47" s="66">
        <f t="shared" si="21"/>
        <v>121493.173474349</v>
      </c>
      <c r="X47" s="66">
        <f t="shared" si="21"/>
        <v>112342.450023368</v>
      </c>
      <c r="Y47" s="66">
        <f t="shared" si="21"/>
        <v>100163.947390886</v>
      </c>
      <c r="Z47" s="66">
        <f t="shared" si="21"/>
        <v>88496.3799614399</v>
      </c>
      <c r="AA47" s="66">
        <f t="shared" si="21"/>
        <v>96341.4770282651</v>
      </c>
      <c r="AB47" s="66">
        <f t="shared" si="21"/>
        <v>107757.838706076</v>
      </c>
      <c r="AC47" s="66">
        <f t="shared" si="21"/>
        <v>125787.712053976</v>
      </c>
      <c r="AD47" s="66">
        <f t="shared" si="21"/>
        <v>103452.525233492</v>
      </c>
      <c r="AE47" s="66">
        <f t="shared" si="21"/>
        <v>103812.45062578</v>
      </c>
      <c r="AF47" s="66">
        <f t="shared" si="21"/>
        <v>104945.213352302</v>
      </c>
      <c r="AG47" s="66">
        <f t="shared" si="21"/>
        <v>93736.2026981771</v>
      </c>
      <c r="AH47" s="66">
        <f t="shared" si="21"/>
        <v>99031.1846643638</v>
      </c>
      <c r="AI47" s="66">
        <f t="shared" si="21"/>
        <v>108080.000582427</v>
      </c>
      <c r="AJ47" s="66">
        <f t="shared" si="21"/>
        <v>111241.663661745</v>
      </c>
      <c r="AK47" s="66">
        <f t="shared" si="21"/>
        <v>98428.2388988482</v>
      </c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</row>
    <row r="48" s="4" customFormat="1" ht="19.5" customHeight="1" spans="1:48">
      <c r="C48" s="36"/>
      <c r="D48" s="31" t="s">
        <v>42</v>
      </c>
      <c r="E48" s="37">
        <f>SUM(G48:AK48)</f>
        <v>0</v>
      </c>
      <c r="F48" s="48" t="e">
        <f>E48/$E$48</f>
        <v>#DIV/0!</v>
      </c>
      <c r="G48" s="57">
        <f t="shared" ref="G48:AK48" si="22">G13+G20+G27+G34+G41</f>
        <v>0</v>
      </c>
      <c r="H48" s="66">
        <f t="shared" si="22"/>
        <v>0</v>
      </c>
      <c r="I48" s="66">
        <f t="shared" si="22"/>
        <v>0</v>
      </c>
      <c r="J48" s="66">
        <f t="shared" si="22"/>
        <v>0</v>
      </c>
      <c r="K48" s="66">
        <f t="shared" si="22"/>
        <v>0</v>
      </c>
      <c r="L48" s="66">
        <f t="shared" si="22"/>
        <v>0</v>
      </c>
      <c r="M48" s="66">
        <f t="shared" si="22"/>
        <v>0</v>
      </c>
      <c r="N48" s="66">
        <f t="shared" si="22"/>
        <v>0</v>
      </c>
      <c r="O48" s="66">
        <f t="shared" si="22"/>
        <v>0</v>
      </c>
      <c r="P48" s="66">
        <f t="shared" si="22"/>
        <v>0</v>
      </c>
      <c r="Q48" s="66">
        <f t="shared" si="22"/>
        <v>0</v>
      </c>
      <c r="R48" s="66">
        <f t="shared" si="22"/>
        <v>0</v>
      </c>
      <c r="S48" s="66">
        <f t="shared" si="22"/>
        <v>0</v>
      </c>
      <c r="T48" s="66">
        <f t="shared" si="22"/>
        <v>0</v>
      </c>
      <c r="U48" s="66">
        <f t="shared" si="22"/>
        <v>0</v>
      </c>
      <c r="V48" s="66">
        <f t="shared" si="22"/>
        <v>0</v>
      </c>
      <c r="W48" s="66">
        <f t="shared" si="22"/>
        <v>0</v>
      </c>
      <c r="X48" s="66">
        <f t="shared" si="22"/>
        <v>0</v>
      </c>
      <c r="Y48" s="66">
        <f t="shared" si="22"/>
        <v>0</v>
      </c>
      <c r="Z48" s="66">
        <f t="shared" si="22"/>
        <v>0</v>
      </c>
      <c r="AA48" s="66">
        <f t="shared" si="22"/>
        <v>0</v>
      </c>
      <c r="AB48" s="66">
        <f t="shared" si="22"/>
        <v>0</v>
      </c>
      <c r="AC48" s="66">
        <f t="shared" si="22"/>
        <v>0</v>
      </c>
      <c r="AD48" s="66">
        <f t="shared" si="22"/>
        <v>0</v>
      </c>
      <c r="AE48" s="66">
        <f t="shared" si="22"/>
        <v>0</v>
      </c>
      <c r="AF48" s="66">
        <f t="shared" si="22"/>
        <v>0</v>
      </c>
      <c r="AG48" s="66">
        <f t="shared" si="22"/>
        <v>0</v>
      </c>
      <c r="AH48" s="66">
        <f t="shared" si="22"/>
        <v>0</v>
      </c>
      <c r="AI48" s="66">
        <f t="shared" si="22"/>
        <v>0</v>
      </c>
      <c r="AJ48" s="66">
        <f t="shared" si="22"/>
        <v>0</v>
      </c>
      <c r="AK48" s="66">
        <f t="shared" si="22"/>
        <v>0</v>
      </c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</row>
    <row r="49" s="4" customFormat="1" ht="19.5" customHeight="1" spans="1:48">
      <c r="C49" s="36"/>
      <c r="D49" s="31" t="s">
        <v>43</v>
      </c>
      <c r="E49" s="38">
        <f>E48/E47</f>
        <v>0</v>
      </c>
      <c r="F49" s="40"/>
      <c r="G49" s="58">
        <f t="shared" ref="G49:AK49" si="23">G48/G47</f>
        <v>0</v>
      </c>
      <c r="H49" s="33">
        <f t="shared" si="23"/>
        <v>0</v>
      </c>
      <c r="I49" s="33">
        <f t="shared" si="23"/>
        <v>0</v>
      </c>
      <c r="J49" s="33">
        <f t="shared" si="23"/>
        <v>0</v>
      </c>
      <c r="K49" s="33">
        <f t="shared" si="23"/>
        <v>0</v>
      </c>
      <c r="L49" s="33">
        <f t="shared" si="23"/>
        <v>0</v>
      </c>
      <c r="M49" s="33">
        <f t="shared" si="23"/>
        <v>0</v>
      </c>
      <c r="N49" s="33">
        <f t="shared" si="23"/>
        <v>0</v>
      </c>
      <c r="O49" s="33">
        <f t="shared" si="23"/>
        <v>0</v>
      </c>
      <c r="P49" s="33">
        <f t="shared" si="23"/>
        <v>0</v>
      </c>
      <c r="Q49" s="33">
        <f t="shared" si="23"/>
        <v>0</v>
      </c>
      <c r="R49" s="33">
        <f t="shared" si="23"/>
        <v>0</v>
      </c>
      <c r="S49" s="33">
        <f t="shared" si="23"/>
        <v>0</v>
      </c>
      <c r="T49" s="33">
        <f t="shared" si="23"/>
        <v>0</v>
      </c>
      <c r="U49" s="33">
        <f t="shared" si="23"/>
        <v>0</v>
      </c>
      <c r="V49" s="33">
        <f t="shared" si="23"/>
        <v>0</v>
      </c>
      <c r="W49" s="33">
        <f t="shared" si="23"/>
        <v>0</v>
      </c>
      <c r="X49" s="33">
        <f t="shared" si="23"/>
        <v>0</v>
      </c>
      <c r="Y49" s="33">
        <f t="shared" si="23"/>
        <v>0</v>
      </c>
      <c r="Z49" s="33">
        <f t="shared" si="23"/>
        <v>0</v>
      </c>
      <c r="AA49" s="33">
        <f t="shared" si="23"/>
        <v>0</v>
      </c>
      <c r="AB49" s="33">
        <f t="shared" si="23"/>
        <v>0</v>
      </c>
      <c r="AC49" s="33">
        <f t="shared" si="23"/>
        <v>0</v>
      </c>
      <c r="AD49" s="33">
        <f t="shared" si="23"/>
        <v>0</v>
      </c>
      <c r="AE49" s="33">
        <f t="shared" si="23"/>
        <v>0</v>
      </c>
      <c r="AF49" s="33">
        <f t="shared" si="23"/>
        <v>0</v>
      </c>
      <c r="AG49" s="33">
        <f t="shared" si="23"/>
        <v>0</v>
      </c>
      <c r="AH49" s="33">
        <f t="shared" si="23"/>
        <v>0</v>
      </c>
      <c r="AI49" s="33">
        <f t="shared" si="23"/>
        <v>0</v>
      </c>
      <c r="AJ49" s="33">
        <f t="shared" si="23"/>
        <v>0</v>
      </c>
      <c r="AK49" s="33">
        <f t="shared" si="23"/>
        <v>0</v>
      </c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</row>
    <row r="50" s="4" customFormat="1" ht="19.5" customHeight="1" spans="1:48">
      <c r="C50" s="36"/>
      <c r="D50" s="31" t="s">
        <v>44</v>
      </c>
      <c r="E50" s="67" t="e">
        <f>SUM(G50:AK50)</f>
        <v>#REF!</v>
      </c>
      <c r="F50" s="40"/>
      <c r="G50" s="57" t="e">
        <f t="shared" ref="G50:AK50" si="24">G15+G22+G29+G36+G43</f>
        <v>#REF!</v>
      </c>
      <c r="H50" s="66" t="e">
        <f t="shared" si="24"/>
        <v>#REF!</v>
      </c>
      <c r="I50" s="66" t="e">
        <f t="shared" si="24"/>
        <v>#REF!</v>
      </c>
      <c r="J50" s="66" t="e">
        <f t="shared" si="24"/>
        <v>#REF!</v>
      </c>
      <c r="K50" s="66" t="e">
        <f t="shared" si="24"/>
        <v>#REF!</v>
      </c>
      <c r="L50" s="66" t="e">
        <f t="shared" si="24"/>
        <v>#REF!</v>
      </c>
      <c r="M50" s="66" t="e">
        <f t="shared" si="24"/>
        <v>#REF!</v>
      </c>
      <c r="N50" s="66" t="e">
        <f t="shared" si="24"/>
        <v>#REF!</v>
      </c>
      <c r="O50" s="66" t="e">
        <f t="shared" si="24"/>
        <v>#REF!</v>
      </c>
      <c r="P50" s="66" t="e">
        <f t="shared" si="24"/>
        <v>#REF!</v>
      </c>
      <c r="Q50" s="66" t="e">
        <f t="shared" si="24"/>
        <v>#REF!</v>
      </c>
      <c r="R50" s="66" t="e">
        <f t="shared" si="24"/>
        <v>#REF!</v>
      </c>
      <c r="S50" s="66" t="e">
        <f t="shared" si="24"/>
        <v>#REF!</v>
      </c>
      <c r="T50" s="66" t="e">
        <f t="shared" si="24"/>
        <v>#REF!</v>
      </c>
      <c r="U50" s="66" t="e">
        <f t="shared" si="24"/>
        <v>#REF!</v>
      </c>
      <c r="V50" s="66" t="e">
        <f t="shared" si="24"/>
        <v>#REF!</v>
      </c>
      <c r="W50" s="66" t="e">
        <f t="shared" si="24"/>
        <v>#REF!</v>
      </c>
      <c r="X50" s="66" t="e">
        <f t="shared" si="24"/>
        <v>#REF!</v>
      </c>
      <c r="Y50" s="66" t="e">
        <f t="shared" si="24"/>
        <v>#REF!</v>
      </c>
      <c r="Z50" s="66" t="e">
        <f t="shared" si="24"/>
        <v>#REF!</v>
      </c>
      <c r="AA50" s="66" t="e">
        <f t="shared" si="24"/>
        <v>#REF!</v>
      </c>
      <c r="AB50" s="66" t="e">
        <f t="shared" si="24"/>
        <v>#REF!</v>
      </c>
      <c r="AC50" s="66" t="e">
        <f t="shared" si="24"/>
        <v>#REF!</v>
      </c>
      <c r="AD50" s="66" t="e">
        <f t="shared" si="24"/>
        <v>#REF!</v>
      </c>
      <c r="AE50" s="66" t="e">
        <f t="shared" si="24"/>
        <v>#REF!</v>
      </c>
      <c r="AF50" s="66" t="e">
        <f t="shared" si="24"/>
        <v>#REF!</v>
      </c>
      <c r="AG50" s="66" t="e">
        <f t="shared" si="24"/>
        <v>#REF!</v>
      </c>
      <c r="AH50" s="66" t="e">
        <f t="shared" si="24"/>
        <v>#REF!</v>
      </c>
      <c r="AI50" s="66" t="e">
        <f t="shared" si="24"/>
        <v>#REF!</v>
      </c>
      <c r="AJ50" s="66" t="e">
        <f t="shared" si="24"/>
        <v>#REF!</v>
      </c>
      <c r="AK50" s="66">
        <f t="shared" si="24"/>
        <v>0</v>
      </c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</row>
    <row r="51" s="4" customFormat="1" ht="19.5" customHeight="1" spans="1:48">
      <c r="C51" s="36"/>
      <c r="D51" s="68" t="s">
        <v>45</v>
      </c>
      <c r="E51" s="67">
        <f>SUM(G51:AK51)</f>
        <v>345000</v>
      </c>
      <c r="F51" s="40"/>
      <c r="G51" s="57">
        <f t="shared" ref="G51:AK51" si="25">G16+G23+G30+G37+G44</f>
        <v>11005.5466573707</v>
      </c>
      <c r="H51" s="57">
        <f t="shared" si="25"/>
        <v>10642.8547385118</v>
      </c>
      <c r="I51" s="57">
        <f t="shared" si="25"/>
        <v>11120.9813346535</v>
      </c>
      <c r="J51" s="57">
        <f t="shared" si="25"/>
        <v>11058.4675412773</v>
      </c>
      <c r="K51" s="57">
        <f t="shared" si="25"/>
        <v>10445.8003898261</v>
      </c>
      <c r="L51" s="57">
        <f t="shared" si="25"/>
        <v>10346.4333933747</v>
      </c>
      <c r="M51" s="57">
        <f t="shared" si="25"/>
        <v>13142.2886283767</v>
      </c>
      <c r="N51" s="57">
        <f t="shared" si="25"/>
        <v>10880.5190706184</v>
      </c>
      <c r="O51" s="57">
        <f t="shared" si="25"/>
        <v>11263.2766009809</v>
      </c>
      <c r="P51" s="57">
        <f t="shared" si="25"/>
        <v>10977.8071608214</v>
      </c>
      <c r="Q51" s="57">
        <f t="shared" si="25"/>
        <v>12460.0715556816</v>
      </c>
      <c r="R51" s="57">
        <f t="shared" si="25"/>
        <v>11375.1934355949</v>
      </c>
      <c r="S51" s="57">
        <f t="shared" si="25"/>
        <v>10505.3563694492</v>
      </c>
      <c r="T51" s="57">
        <f t="shared" si="25"/>
        <v>9633.92048505862</v>
      </c>
      <c r="U51" s="57">
        <f t="shared" si="25"/>
        <v>14579.3850802278</v>
      </c>
      <c r="V51" s="57">
        <f t="shared" si="25"/>
        <v>10701.0517226267</v>
      </c>
      <c r="W51" s="57">
        <f t="shared" si="25"/>
        <v>13049.3173474349</v>
      </c>
      <c r="X51" s="57">
        <f t="shared" si="25"/>
        <v>11684.2450023368</v>
      </c>
      <c r="Y51" s="57">
        <f t="shared" si="25"/>
        <v>10616.3947390886</v>
      </c>
      <c r="Z51" s="57">
        <f t="shared" si="25"/>
        <v>9149.63799614399</v>
      </c>
      <c r="AA51" s="57">
        <f t="shared" si="25"/>
        <v>10084.1477028265</v>
      </c>
      <c r="AB51" s="57">
        <f t="shared" si="25"/>
        <v>11225.7838706076</v>
      </c>
      <c r="AC51" s="57">
        <f t="shared" si="25"/>
        <v>13028.7712053976</v>
      </c>
      <c r="AD51" s="57">
        <f t="shared" si="25"/>
        <v>10645.2525233492</v>
      </c>
      <c r="AE51" s="57">
        <f t="shared" si="25"/>
        <v>10981.245062578</v>
      </c>
      <c r="AF51" s="57">
        <f t="shared" si="25"/>
        <v>11094.5213352302</v>
      </c>
      <c r="AG51" s="57">
        <f t="shared" si="25"/>
        <v>9823.62026981771</v>
      </c>
      <c r="AH51" s="57">
        <f t="shared" si="25"/>
        <v>10503.1184664364</v>
      </c>
      <c r="AI51" s="57">
        <f t="shared" si="25"/>
        <v>11258.0000582427</v>
      </c>
      <c r="AJ51" s="57">
        <f t="shared" si="25"/>
        <v>11574.1663661745</v>
      </c>
      <c r="AK51" s="57">
        <f t="shared" si="25"/>
        <v>10142.8238898848</v>
      </c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</row>
    <row r="52" s="4" customFormat="1" ht="19.5" customHeight="1" spans="1:48">
      <c r="B52" s="69">
        <f>E47*E52</f>
        <v>345000</v>
      </c>
      <c r="C52" s="36"/>
      <c r="D52" s="31" t="s">
        <v>46</v>
      </c>
      <c r="E52" s="33">
        <f>E51/E47</f>
        <v>0.104545454545455</v>
      </c>
      <c r="F52" s="40"/>
      <c r="G52" s="58">
        <f t="shared" ref="G52:AK52" si="26">(G12*G17+G19*G24+G26*G31+G33*G38+G40*G45)/G47</f>
        <v>0.104263161488522</v>
      </c>
      <c r="H52" s="33">
        <f t="shared" si="26"/>
        <v>0.104414857383376</v>
      </c>
      <c r="I52" s="33">
        <f t="shared" si="26"/>
        <v>0.104217044205097</v>
      </c>
      <c r="J52" s="33">
        <f t="shared" si="26"/>
        <v>0.104241894488992</v>
      </c>
      <c r="K52" s="33">
        <f t="shared" si="26"/>
        <v>0.104501890618564</v>
      </c>
      <c r="L52" s="33">
        <f t="shared" si="26"/>
        <v>0.102986134364837</v>
      </c>
      <c r="M52" s="33">
        <f t="shared" si="26"/>
        <v>0.107351566584649</v>
      </c>
      <c r="N52" s="33">
        <f t="shared" si="26"/>
        <v>0.104314262760591</v>
      </c>
      <c r="O52" s="33">
        <f t="shared" si="26"/>
        <v>0.105626788298306</v>
      </c>
      <c r="P52" s="33">
        <f t="shared" si="26"/>
        <v>0.104274394402613</v>
      </c>
      <c r="Q52" s="33">
        <f t="shared" si="26"/>
        <v>0.103746855278203</v>
      </c>
      <c r="R52" s="33">
        <f t="shared" si="26"/>
        <v>0.104118920206336</v>
      </c>
      <c r="S52" s="33">
        <f t="shared" si="26"/>
        <v>0.104475226769359</v>
      </c>
      <c r="T52" s="33">
        <f t="shared" si="26"/>
        <v>0.104899868206961</v>
      </c>
      <c r="U52" s="33">
        <f t="shared" si="26"/>
        <v>0.103184851976536</v>
      </c>
      <c r="V52" s="33">
        <f t="shared" si="26"/>
        <v>0.104389793478524</v>
      </c>
      <c r="W52" s="33">
        <f t="shared" si="26"/>
        <v>0.107407823618913</v>
      </c>
      <c r="X52" s="33">
        <f t="shared" si="26"/>
        <v>0.104005609632925</v>
      </c>
      <c r="Y52" s="33">
        <f t="shared" si="26"/>
        <v>0.105990179257398</v>
      </c>
      <c r="Z52" s="33">
        <f t="shared" si="26"/>
        <v>0.103389969173097</v>
      </c>
      <c r="AA52" s="33">
        <f t="shared" si="26"/>
        <v>0.104670885415925</v>
      </c>
      <c r="AB52" s="33">
        <f t="shared" si="26"/>
        <v>0.104176030304648</v>
      </c>
      <c r="AC52" s="33">
        <f t="shared" si="26"/>
        <v>0.103577455958551</v>
      </c>
      <c r="AD52" s="33">
        <f t="shared" si="26"/>
        <v>0.102899880880848</v>
      </c>
      <c r="AE52" s="33">
        <f t="shared" si="26"/>
        <v>0.105779653561622</v>
      </c>
      <c r="AF52" s="33">
        <f t="shared" si="26"/>
        <v>0.105717268857092</v>
      </c>
      <c r="AG52" s="33">
        <f t="shared" si="26"/>
        <v>0.104800706525834</v>
      </c>
      <c r="AH52" s="33">
        <f t="shared" si="26"/>
        <v>0.106058697591405</v>
      </c>
      <c r="AI52" s="33">
        <f t="shared" si="26"/>
        <v>0.104163582509021</v>
      </c>
      <c r="AJ52" s="33">
        <f t="shared" si="26"/>
        <v>0.104045246944241</v>
      </c>
      <c r="AK52" s="33">
        <f t="shared" si="26"/>
        <v>0.103047905797728</v>
      </c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</row>
    <row r="53" s="4" customFormat="1" ht="19.5" customHeight="1" spans="1:48">
      <c r="C53" s="36"/>
      <c r="D53" s="31" t="s">
        <v>47</v>
      </c>
      <c r="E53" s="38" t="e">
        <f>E50/E48</f>
        <v>#REF!</v>
      </c>
      <c r="F53" s="26"/>
      <c r="G53" s="58" t="e">
        <f t="shared" ref="G53:AK53" si="27">G50/G48</f>
        <v>#REF!</v>
      </c>
      <c r="H53" s="33" t="e">
        <f t="shared" si="27"/>
        <v>#REF!</v>
      </c>
      <c r="I53" s="33" t="e">
        <f t="shared" si="27"/>
        <v>#REF!</v>
      </c>
      <c r="J53" s="33" t="e">
        <f t="shared" si="27"/>
        <v>#REF!</v>
      </c>
      <c r="K53" s="33" t="e">
        <f t="shared" si="27"/>
        <v>#REF!</v>
      </c>
      <c r="L53" s="33" t="e">
        <f t="shared" si="27"/>
        <v>#REF!</v>
      </c>
      <c r="M53" s="33" t="e">
        <f t="shared" si="27"/>
        <v>#REF!</v>
      </c>
      <c r="N53" s="33" t="e">
        <f t="shared" si="27"/>
        <v>#REF!</v>
      </c>
      <c r="O53" s="33" t="e">
        <f t="shared" si="27"/>
        <v>#REF!</v>
      </c>
      <c r="P53" s="33" t="e">
        <f t="shared" si="27"/>
        <v>#REF!</v>
      </c>
      <c r="Q53" s="33" t="e">
        <f t="shared" si="27"/>
        <v>#REF!</v>
      </c>
      <c r="R53" s="33" t="e">
        <f t="shared" si="27"/>
        <v>#REF!</v>
      </c>
      <c r="S53" s="33" t="e">
        <f t="shared" si="27"/>
        <v>#REF!</v>
      </c>
      <c r="T53" s="33" t="e">
        <f t="shared" si="27"/>
        <v>#REF!</v>
      </c>
      <c r="U53" s="33" t="e">
        <f t="shared" si="27"/>
        <v>#REF!</v>
      </c>
      <c r="V53" s="33" t="e">
        <f t="shared" si="27"/>
        <v>#REF!</v>
      </c>
      <c r="W53" s="33" t="e">
        <f t="shared" si="27"/>
        <v>#REF!</v>
      </c>
      <c r="X53" s="33" t="e">
        <f t="shared" si="27"/>
        <v>#REF!</v>
      </c>
      <c r="Y53" s="33" t="e">
        <f t="shared" si="27"/>
        <v>#REF!</v>
      </c>
      <c r="Z53" s="33" t="e">
        <f t="shared" si="27"/>
        <v>#REF!</v>
      </c>
      <c r="AA53" s="33" t="e">
        <f t="shared" si="27"/>
        <v>#REF!</v>
      </c>
      <c r="AB53" s="33" t="e">
        <f t="shared" si="27"/>
        <v>#REF!</v>
      </c>
      <c r="AC53" s="33" t="e">
        <f t="shared" si="27"/>
        <v>#REF!</v>
      </c>
      <c r="AD53" s="33" t="e">
        <f t="shared" si="27"/>
        <v>#REF!</v>
      </c>
      <c r="AE53" s="33" t="e">
        <f t="shared" si="27"/>
        <v>#REF!</v>
      </c>
      <c r="AF53" s="33" t="e">
        <f t="shared" si="27"/>
        <v>#REF!</v>
      </c>
      <c r="AG53" s="33" t="e">
        <f t="shared" si="27"/>
        <v>#REF!</v>
      </c>
      <c r="AH53" s="33" t="e">
        <f t="shared" si="27"/>
        <v>#REF!</v>
      </c>
      <c r="AI53" s="33" t="e">
        <f t="shared" si="27"/>
        <v>#REF!</v>
      </c>
      <c r="AJ53" s="33" t="e">
        <f t="shared" si="27"/>
        <v>#REF!</v>
      </c>
      <c r="AK53" s="33" t="e">
        <f t="shared" si="27"/>
        <v>#DIV/0!</v>
      </c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</row>
    <row r="54" customHeight="1" spans="1:48">
      <c r="F54" s="70"/>
      <c r="G54" s="71"/>
      <c r="H54" s="35"/>
      <c r="I54" s="14"/>
      <c r="J54" s="14"/>
      <c r="K54" s="14"/>
      <c r="L54" s="14"/>
    </row>
    <row r="55" customHeight="1" spans="1:48">
      <c r="F55" s="70"/>
      <c r="G55" s="71"/>
      <c r="H55" s="35"/>
      <c r="I55" s="14"/>
      <c r="J55" s="14"/>
      <c r="K55" s="14"/>
      <c r="L55" s="14"/>
    </row>
    <row r="56" customHeight="1" spans="1:48">
      <c r="F56" s="70"/>
      <c r="G56" s="71"/>
      <c r="H56" s="35"/>
      <c r="I56" s="14"/>
      <c r="J56" s="14"/>
      <c r="K56" s="14"/>
      <c r="L56" s="14"/>
    </row>
    <row r="57" customHeight="1" spans="1:48">
      <c r="F57" s="70"/>
      <c r="G57" s="71"/>
      <c r="H57" s="35"/>
      <c r="I57" s="14"/>
      <c r="J57" s="14"/>
      <c r="K57" s="14"/>
      <c r="L57" s="14"/>
    </row>
    <row r="58" customHeight="1" spans="1:48">
      <c r="F58" s="70"/>
      <c r="G58" s="71"/>
      <c r="H58" s="35"/>
      <c r="I58" s="14"/>
      <c r="J58" s="14"/>
      <c r="K58" s="14"/>
      <c r="L58" s="14"/>
    </row>
    <row r="59" customHeight="1" spans="1:48">
      <c r="F59" s="70"/>
      <c r="G59" s="71"/>
      <c r="H59" s="35"/>
      <c r="I59" s="14"/>
      <c r="J59" s="14"/>
      <c r="K59" s="14"/>
      <c r="L59" s="14"/>
    </row>
    <row r="60" customHeight="1" spans="1:48">
      <c r="A60" s="21"/>
      <c r="B60" s="21"/>
      <c r="C60" s="72" t="s">
        <v>53</v>
      </c>
      <c r="D60" s="72"/>
      <c r="F60" s="70"/>
      <c r="G60" s="71"/>
      <c r="H60" s="35"/>
      <c r="I60" s="14"/>
      <c r="J60" s="14"/>
      <c r="K60" s="14"/>
      <c r="L60" s="14"/>
    </row>
    <row r="61" ht="19.5" customHeight="1" spans="1:48">
      <c r="F61" s="70"/>
      <c r="G61" s="71"/>
      <c r="H61" s="71"/>
      <c r="I61" s="71"/>
      <c r="J61" s="71"/>
      <c r="K61" s="71"/>
      <c r="L61" s="71"/>
      <c r="M61" s="14" t="s">
        <v>54</v>
      </c>
      <c r="N61" s="14" t="s">
        <v>55</v>
      </c>
      <c r="O61" s="14" t="s">
        <v>56</v>
      </c>
      <c r="P61" s="14" t="s">
        <v>57</v>
      </c>
      <c r="Q61" s="14" t="s">
        <v>58</v>
      </c>
      <c r="R61" s="14" t="s">
        <v>59</v>
      </c>
      <c r="S61" s="14" t="s">
        <v>60</v>
      </c>
      <c r="T61" s="14" t="s">
        <v>61</v>
      </c>
      <c r="U61" s="14" t="s">
        <v>62</v>
      </c>
      <c r="V61" s="14" t="s">
        <v>63</v>
      </c>
      <c r="W61" s="14" t="s">
        <v>64</v>
      </c>
      <c r="X61" s="14" t="s">
        <v>65</v>
      </c>
      <c r="Y61" s="14" t="s">
        <v>66</v>
      </c>
      <c r="Z61" s="14" t="s">
        <v>67</v>
      </c>
      <c r="AA61" s="14" t="s">
        <v>68</v>
      </c>
      <c r="AB61" s="14" t="s">
        <v>69</v>
      </c>
      <c r="AC61" s="14" t="s">
        <v>70</v>
      </c>
      <c r="AD61" s="14" t="s">
        <v>71</v>
      </c>
      <c r="AE61" s="14" t="s">
        <v>72</v>
      </c>
      <c r="AF61" s="14" t="s">
        <v>73</v>
      </c>
      <c r="AG61" s="14" t="s">
        <v>74</v>
      </c>
      <c r="AH61" s="14" t="s">
        <v>75</v>
      </c>
      <c r="AI61" s="14" t="s">
        <v>76</v>
      </c>
      <c r="AJ61" s="14" t="s">
        <v>77</v>
      </c>
      <c r="AK61" s="14" t="s">
        <v>78</v>
      </c>
    </row>
    <row r="62" ht="19.5" customHeight="1" spans="1:48">
      <c r="A62" s="21"/>
      <c r="B62" s="21"/>
      <c r="C62" s="73" t="s">
        <v>36</v>
      </c>
      <c r="D62" s="73" t="s">
        <v>79</v>
      </c>
      <c r="E62" s="73"/>
      <c r="F62" s="74" t="s">
        <v>38</v>
      </c>
      <c r="G62" s="75">
        <v>46204</v>
      </c>
      <c r="H62" s="75">
        <v>46205</v>
      </c>
      <c r="I62" s="75">
        <v>46206</v>
      </c>
      <c r="J62" s="76">
        <v>46207</v>
      </c>
      <c r="K62" s="75">
        <v>46208</v>
      </c>
      <c r="L62" s="76">
        <v>46209</v>
      </c>
      <c r="M62" s="75">
        <v>46210</v>
      </c>
      <c r="N62" s="76">
        <v>46211</v>
      </c>
      <c r="O62" s="75">
        <v>46212</v>
      </c>
      <c r="P62" s="76">
        <v>46213</v>
      </c>
      <c r="Q62" s="75">
        <v>46214</v>
      </c>
      <c r="R62" s="76">
        <v>46215</v>
      </c>
      <c r="S62" s="75">
        <v>46216</v>
      </c>
      <c r="T62" s="76">
        <v>46217</v>
      </c>
      <c r="U62" s="75">
        <v>46218</v>
      </c>
      <c r="V62" s="76">
        <v>46219</v>
      </c>
      <c r="W62" s="75">
        <v>46220</v>
      </c>
      <c r="X62" s="76">
        <v>46221</v>
      </c>
      <c r="Y62" s="75">
        <v>46222</v>
      </c>
      <c r="Z62" s="76">
        <v>46223</v>
      </c>
      <c r="AA62" s="75">
        <v>46224</v>
      </c>
      <c r="AB62" s="76">
        <v>46225</v>
      </c>
      <c r="AC62" s="75">
        <v>46226</v>
      </c>
      <c r="AD62" s="76">
        <v>46227</v>
      </c>
      <c r="AE62" s="75">
        <v>46228</v>
      </c>
      <c r="AF62" s="76">
        <v>46229</v>
      </c>
      <c r="AG62" s="75">
        <v>46230</v>
      </c>
      <c r="AH62" s="76">
        <v>46231</v>
      </c>
      <c r="AI62" s="75">
        <v>46232</v>
      </c>
      <c r="AJ62" s="76">
        <v>46233</v>
      </c>
      <c r="AK62" s="75">
        <v>46234</v>
      </c>
    </row>
    <row r="63" customHeight="1" spans="1:48">
      <c r="A63" s="77" t="s">
        <v>80</v>
      </c>
      <c r="B63" s="78">
        <v>408</v>
      </c>
      <c r="C63" s="79" t="s">
        <v>40</v>
      </c>
      <c r="D63" s="79" t="s">
        <v>81</v>
      </c>
      <c r="E63" s="79" t="s">
        <v>82</v>
      </c>
      <c r="F63" s="80">
        <f>SUM(G63:AK63)</f>
        <v>1303.92156862745</v>
      </c>
      <c r="G63" s="80">
        <f t="shared" ref="G63:AK63" si="28">G64/$B63</f>
        <v>42.1704378652066</v>
      </c>
      <c r="H63" s="80">
        <f t="shared" si="28"/>
        <v>40.4814313803248</v>
      </c>
      <c r="I63" s="80">
        <f t="shared" si="28"/>
        <v>42.7080013133374</v>
      </c>
      <c r="J63" s="80">
        <f t="shared" si="28"/>
        <v>42.4168831579092</v>
      </c>
      <c r="K63" s="80">
        <f t="shared" si="28"/>
        <v>39.5637763251708</v>
      </c>
      <c r="L63" s="80">
        <f t="shared" si="28"/>
        <v>42.1279986456173</v>
      </c>
      <c r="M63" s="80">
        <f t="shared" si="28"/>
        <v>43.0400695929306</v>
      </c>
      <c r="N63" s="80">
        <f t="shared" si="28"/>
        <v>41.5882015543503</v>
      </c>
      <c r="O63" s="80">
        <f t="shared" si="28"/>
        <v>40.3436900535877</v>
      </c>
      <c r="P63" s="80">
        <f t="shared" si="28"/>
        <v>42.0412588371586</v>
      </c>
      <c r="Q63" s="80">
        <f t="shared" si="28"/>
        <v>48.943960675968</v>
      </c>
      <c r="R63" s="80">
        <f t="shared" si="28"/>
        <v>43.8918321755644</v>
      </c>
      <c r="S63" s="80">
        <f t="shared" si="28"/>
        <v>39.8411203479252</v>
      </c>
      <c r="T63" s="80">
        <f t="shared" si="28"/>
        <v>35.7829630431651</v>
      </c>
      <c r="U63" s="80">
        <f t="shared" si="28"/>
        <v>58.8133128736101</v>
      </c>
      <c r="V63" s="80">
        <f t="shared" si="28"/>
        <v>40.7524467475265</v>
      </c>
      <c r="W63" s="80">
        <f t="shared" si="28"/>
        <v>42.6071150983488</v>
      </c>
      <c r="X63" s="80">
        <f t="shared" si="28"/>
        <v>45.3310429030392</v>
      </c>
      <c r="Y63" s="80">
        <f t="shared" si="28"/>
        <v>37.3312500104615</v>
      </c>
      <c r="Z63" s="80">
        <f t="shared" si="28"/>
        <v>36.554686746749</v>
      </c>
      <c r="AA63" s="80">
        <f t="shared" si="28"/>
        <v>37.8796094004176</v>
      </c>
      <c r="AB63" s="80">
        <f t="shared" si="28"/>
        <v>43.196052338614</v>
      </c>
      <c r="AC63" s="80">
        <f t="shared" si="28"/>
        <v>51.592316887881</v>
      </c>
      <c r="AD63" s="80">
        <f t="shared" si="28"/>
        <v>43.5195583195182</v>
      </c>
      <c r="AE63" s="80">
        <f t="shared" si="28"/>
        <v>39.0303078894565</v>
      </c>
      <c r="AF63" s="80">
        <f t="shared" si="28"/>
        <v>39.5578199434741</v>
      </c>
      <c r="AG63" s="80">
        <f t="shared" si="28"/>
        <v>36.6663689035629</v>
      </c>
      <c r="AH63" s="80">
        <f t="shared" si="28"/>
        <v>36.8037379564439</v>
      </c>
      <c r="AI63" s="80">
        <f t="shared" si="28"/>
        <v>43.3460787026006</v>
      </c>
      <c r="AJ63" s="80">
        <f t="shared" si="28"/>
        <v>44.8184218032636</v>
      </c>
      <c r="AK63" s="80">
        <f t="shared" si="28"/>
        <v>41.1798171342675</v>
      </c>
    </row>
    <row r="64" customHeight="1" spans="1:48">
      <c r="A64" s="81" t="s">
        <v>83</v>
      </c>
      <c r="B64" s="81">
        <v>0.19</v>
      </c>
      <c r="C64" s="82"/>
      <c r="D64" s="83"/>
      <c r="E64" s="79" t="s">
        <v>41</v>
      </c>
      <c r="F64" s="80">
        <f>SUM(G64:AK64)</f>
        <v>532000</v>
      </c>
      <c r="G64" s="80">
        <f t="shared" ref="G64:AK64" si="29">$B65*G$9</f>
        <v>17205.5386490043</v>
      </c>
      <c r="H64" s="80">
        <f t="shared" si="29"/>
        <v>16516.4240031725</v>
      </c>
      <c r="I64" s="80">
        <f t="shared" si="29"/>
        <v>17424.8645358417</v>
      </c>
      <c r="J64" s="80">
        <f t="shared" si="29"/>
        <v>17306.088328427</v>
      </c>
      <c r="K64" s="80">
        <f t="shared" si="29"/>
        <v>16142.0207406697</v>
      </c>
      <c r="L64" s="80">
        <f t="shared" si="29"/>
        <v>17188.2234474119</v>
      </c>
      <c r="M64" s="80">
        <f t="shared" si="29"/>
        <v>17560.3483939157</v>
      </c>
      <c r="N64" s="80">
        <f t="shared" si="29"/>
        <v>16967.9862341749</v>
      </c>
      <c r="O64" s="80">
        <f t="shared" si="29"/>
        <v>16460.2255418638</v>
      </c>
      <c r="P64" s="80">
        <f t="shared" si="29"/>
        <v>17152.8336055607</v>
      </c>
      <c r="Q64" s="80">
        <f t="shared" si="29"/>
        <v>19969.135955795</v>
      </c>
      <c r="R64" s="80">
        <f t="shared" si="29"/>
        <v>17907.8675276303</v>
      </c>
      <c r="S64" s="80">
        <f t="shared" si="29"/>
        <v>16255.1771019535</v>
      </c>
      <c r="T64" s="80">
        <f t="shared" si="29"/>
        <v>14599.4489216114</v>
      </c>
      <c r="U64" s="80">
        <f t="shared" si="29"/>
        <v>23995.8316524329</v>
      </c>
      <c r="V64" s="80">
        <f t="shared" si="29"/>
        <v>16626.9982729908</v>
      </c>
      <c r="W64" s="80">
        <f t="shared" si="29"/>
        <v>17383.7029601263</v>
      </c>
      <c r="X64" s="80">
        <f t="shared" si="29"/>
        <v>18495.06550444</v>
      </c>
      <c r="Y64" s="80">
        <f t="shared" si="29"/>
        <v>15231.1500042683</v>
      </c>
      <c r="Z64" s="80">
        <f t="shared" si="29"/>
        <v>14914.3121926736</v>
      </c>
      <c r="AA64" s="80">
        <f t="shared" si="29"/>
        <v>15454.8806353704</v>
      </c>
      <c r="AB64" s="80">
        <f t="shared" si="29"/>
        <v>17623.9893541545</v>
      </c>
      <c r="AC64" s="80">
        <f t="shared" si="29"/>
        <v>21049.6652902555</v>
      </c>
      <c r="AD64" s="80">
        <f t="shared" si="29"/>
        <v>17755.9797943634</v>
      </c>
      <c r="AE64" s="80">
        <f t="shared" si="29"/>
        <v>15924.3656188983</v>
      </c>
      <c r="AF64" s="80">
        <f t="shared" si="29"/>
        <v>16139.5905369374</v>
      </c>
      <c r="AG64" s="80">
        <f t="shared" si="29"/>
        <v>14959.8785126536</v>
      </c>
      <c r="AH64" s="80">
        <f t="shared" si="29"/>
        <v>15015.9250862291</v>
      </c>
      <c r="AI64" s="80">
        <f t="shared" si="29"/>
        <v>17685.2001106611</v>
      </c>
      <c r="AJ64" s="80">
        <f t="shared" si="29"/>
        <v>18285.9160957315</v>
      </c>
      <c r="AK64" s="80">
        <f t="shared" si="29"/>
        <v>16801.3653907812</v>
      </c>
    </row>
    <row r="65" customHeight="1" spans="1:48">
      <c r="A65" s="78" t="s">
        <v>41</v>
      </c>
      <c r="B65" s="78">
        <f>B64*$E$12</f>
        <v>532000</v>
      </c>
      <c r="C65" s="82"/>
      <c r="D65" s="83"/>
      <c r="E65" s="79" t="s">
        <v>46</v>
      </c>
      <c r="F65" s="84">
        <f t="shared" ref="F65:AK65" si="30">F66/F64</f>
        <v>0.0789473684210526</v>
      </c>
      <c r="G65" s="84">
        <f t="shared" si="30"/>
        <v>0.0789473684210526</v>
      </c>
      <c r="H65" s="84">
        <f t="shared" si="30"/>
        <v>0.0789473684210526</v>
      </c>
      <c r="I65" s="84">
        <f t="shared" si="30"/>
        <v>0.0789473684210526</v>
      </c>
      <c r="J65" s="84">
        <f t="shared" si="30"/>
        <v>0.0789473684210526</v>
      </c>
      <c r="K65" s="84">
        <f t="shared" si="30"/>
        <v>0.0789473684210526</v>
      </c>
      <c r="L65" s="84">
        <f t="shared" si="30"/>
        <v>0.0789473684210526</v>
      </c>
      <c r="M65" s="84">
        <f t="shared" si="30"/>
        <v>0.0789473684210526</v>
      </c>
      <c r="N65" s="84">
        <f t="shared" si="30"/>
        <v>0.0789473684210526</v>
      </c>
      <c r="O65" s="84">
        <f t="shared" si="30"/>
        <v>0.0789473684210526</v>
      </c>
      <c r="P65" s="84">
        <f t="shared" si="30"/>
        <v>0.0789473684210526</v>
      </c>
      <c r="Q65" s="84">
        <f t="shared" si="30"/>
        <v>0.0789473684210526</v>
      </c>
      <c r="R65" s="84">
        <f t="shared" si="30"/>
        <v>0.0789473684210526</v>
      </c>
      <c r="S65" s="84">
        <f t="shared" si="30"/>
        <v>0.0789473684210526</v>
      </c>
      <c r="T65" s="84">
        <f t="shared" si="30"/>
        <v>0.0789473684210526</v>
      </c>
      <c r="U65" s="84">
        <f t="shared" si="30"/>
        <v>0.0789473684210526</v>
      </c>
      <c r="V65" s="84">
        <f t="shared" si="30"/>
        <v>0.0789473684210526</v>
      </c>
      <c r="W65" s="84">
        <f t="shared" si="30"/>
        <v>0.0789473684210526</v>
      </c>
      <c r="X65" s="84">
        <f t="shared" si="30"/>
        <v>0.0789473684210526</v>
      </c>
      <c r="Y65" s="84">
        <f t="shared" si="30"/>
        <v>0.0789473684210526</v>
      </c>
      <c r="Z65" s="84">
        <f t="shared" si="30"/>
        <v>0.0789473684210526</v>
      </c>
      <c r="AA65" s="84">
        <f t="shared" si="30"/>
        <v>0.0789473684210526</v>
      </c>
      <c r="AB65" s="84">
        <f t="shared" si="30"/>
        <v>0.0789473684210526</v>
      </c>
      <c r="AC65" s="84">
        <f t="shared" si="30"/>
        <v>0.0789473684210526</v>
      </c>
      <c r="AD65" s="84">
        <f t="shared" si="30"/>
        <v>0.0789473684210526</v>
      </c>
      <c r="AE65" s="84">
        <f t="shared" si="30"/>
        <v>0.0789473684210526</v>
      </c>
      <c r="AF65" s="84">
        <f t="shared" si="30"/>
        <v>0.0789473684210526</v>
      </c>
      <c r="AG65" s="84">
        <f t="shared" si="30"/>
        <v>0.0789473684210526</v>
      </c>
      <c r="AH65" s="84">
        <f t="shared" si="30"/>
        <v>0.0789473684210526</v>
      </c>
      <c r="AI65" s="84">
        <f t="shared" si="30"/>
        <v>0.0789473684210526</v>
      </c>
      <c r="AJ65" s="84">
        <f t="shared" si="30"/>
        <v>0.0789473684210526</v>
      </c>
      <c r="AK65" s="84">
        <f t="shared" si="30"/>
        <v>0.0789473684210526</v>
      </c>
    </row>
    <row r="66" customHeight="1" spans="1:48">
      <c r="A66" s="85" t="s">
        <v>84</v>
      </c>
      <c r="B66" s="81">
        <v>0.15</v>
      </c>
      <c r="C66" s="82"/>
      <c r="D66" s="83"/>
      <c r="E66" s="86" t="s">
        <v>45</v>
      </c>
      <c r="F66" s="80">
        <f>SUM(G66:AK66)</f>
        <v>42000</v>
      </c>
      <c r="G66" s="80">
        <f t="shared" ref="G66:AK66" si="31">$B67*G$9</f>
        <v>1358.3319986056</v>
      </c>
      <c r="H66" s="80">
        <f t="shared" si="31"/>
        <v>1303.92821077678</v>
      </c>
      <c r="I66" s="80">
        <f t="shared" si="31"/>
        <v>1375.64720019803</v>
      </c>
      <c r="J66" s="80">
        <f t="shared" si="31"/>
        <v>1366.2701311916</v>
      </c>
      <c r="K66" s="80">
        <f t="shared" si="31"/>
        <v>1274.37005847392</v>
      </c>
      <c r="L66" s="80">
        <f t="shared" si="31"/>
        <v>1356.9650090062</v>
      </c>
      <c r="M66" s="80">
        <f t="shared" si="31"/>
        <v>1386.3432942565</v>
      </c>
      <c r="N66" s="80">
        <f t="shared" si="31"/>
        <v>1339.57786059276</v>
      </c>
      <c r="O66" s="80">
        <f t="shared" si="31"/>
        <v>1299.49149014714</v>
      </c>
      <c r="P66" s="80">
        <f t="shared" si="31"/>
        <v>1354.17107412321</v>
      </c>
      <c r="Q66" s="80">
        <f t="shared" si="31"/>
        <v>1576.51073335223</v>
      </c>
      <c r="R66" s="80">
        <f t="shared" si="31"/>
        <v>1413.77901533923</v>
      </c>
      <c r="S66" s="80">
        <f t="shared" si="31"/>
        <v>1283.30345541738</v>
      </c>
      <c r="T66" s="80">
        <f t="shared" si="31"/>
        <v>1152.58807275879</v>
      </c>
      <c r="U66" s="80">
        <f t="shared" si="31"/>
        <v>1894.40776203418</v>
      </c>
      <c r="V66" s="80">
        <f t="shared" si="31"/>
        <v>1312.65775839401</v>
      </c>
      <c r="W66" s="80">
        <f t="shared" si="31"/>
        <v>1372.39760211524</v>
      </c>
      <c r="X66" s="80">
        <f t="shared" si="31"/>
        <v>1460.13675035053</v>
      </c>
      <c r="Y66" s="80">
        <f t="shared" si="31"/>
        <v>1202.45921086328</v>
      </c>
      <c r="Z66" s="80">
        <f t="shared" si="31"/>
        <v>1177.4456994216</v>
      </c>
      <c r="AA66" s="80">
        <f t="shared" si="31"/>
        <v>1220.12215542398</v>
      </c>
      <c r="AB66" s="80">
        <f t="shared" si="31"/>
        <v>1391.36758059115</v>
      </c>
      <c r="AC66" s="80">
        <f t="shared" si="31"/>
        <v>1661.81568080964</v>
      </c>
      <c r="AD66" s="80">
        <f t="shared" si="31"/>
        <v>1401.78787850238</v>
      </c>
      <c r="AE66" s="80">
        <f t="shared" si="31"/>
        <v>1257.1867593867</v>
      </c>
      <c r="AF66" s="80">
        <f t="shared" si="31"/>
        <v>1274.17820028453</v>
      </c>
      <c r="AG66" s="80">
        <f t="shared" si="31"/>
        <v>1181.04304047266</v>
      </c>
      <c r="AH66" s="80">
        <f t="shared" si="31"/>
        <v>1185.46776996546</v>
      </c>
      <c r="AI66" s="80">
        <f t="shared" si="31"/>
        <v>1396.2000087364</v>
      </c>
      <c r="AJ66" s="80">
        <f t="shared" si="31"/>
        <v>1443.62495492617</v>
      </c>
      <c r="AK66" s="80">
        <f t="shared" si="31"/>
        <v>1326.42358348272</v>
      </c>
    </row>
    <row r="67" customHeight="1" spans="1:48">
      <c r="A67" s="78" t="s">
        <v>45</v>
      </c>
      <c r="B67" s="78">
        <f>B66*$B$16</f>
        <v>42000</v>
      </c>
      <c r="C67" s="82"/>
      <c r="D67" s="83"/>
      <c r="E67" s="86" t="s">
        <v>44</v>
      </c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48"/>
    </row>
    <row r="68" customHeight="1" spans="1:48">
      <c r="A68" s="78" t="s">
        <v>46</v>
      </c>
      <c r="B68" s="87">
        <f>B67/B65</f>
        <v>0.0789473684210526</v>
      </c>
      <c r="C68" s="82"/>
      <c r="D68" s="83"/>
      <c r="E68" s="79" t="s">
        <v>85</v>
      </c>
      <c r="F68" s="88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40"/>
    </row>
    <row r="69" customHeight="1" spans="1:48">
      <c r="A69" s="78"/>
      <c r="B69" s="87"/>
      <c r="C69" s="82"/>
      <c r="D69" s="83"/>
      <c r="E69" s="79" t="s">
        <v>86</v>
      </c>
      <c r="F69" s="88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40"/>
    </row>
    <row r="70" ht="19.5" customHeight="1" spans="1:48">
      <c r="A70" s="78"/>
      <c r="B70" s="78"/>
      <c r="C70" s="82"/>
      <c r="D70" s="83"/>
      <c r="E70" s="79" t="s">
        <v>43</v>
      </c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  <c r="AD70" s="90"/>
      <c r="AE70" s="90"/>
      <c r="AF70" s="90"/>
      <c r="AG70" s="90"/>
      <c r="AH70" s="90"/>
      <c r="AI70" s="90"/>
      <c r="AJ70" s="90"/>
      <c r="AK70" s="48"/>
    </row>
    <row r="71" customHeight="1" spans="1:48">
      <c r="A71" s="78"/>
      <c r="B71" s="78"/>
      <c r="C71" s="82"/>
      <c r="D71" s="83"/>
      <c r="E71" s="79" t="s">
        <v>47</v>
      </c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  <c r="AD71" s="90"/>
      <c r="AE71" s="90"/>
      <c r="AF71" s="90"/>
      <c r="AG71" s="90"/>
      <c r="AH71" s="90"/>
      <c r="AI71" s="90"/>
      <c r="AJ71" s="90"/>
      <c r="AK71" s="4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</row>
    <row r="72" customHeight="1" spans="1:48">
      <c r="A72" s="77" t="s">
        <v>80</v>
      </c>
      <c r="B72" s="78">
        <v>749</v>
      </c>
      <c r="C72" s="82"/>
      <c r="D72" s="79" t="s">
        <v>87</v>
      </c>
      <c r="E72" s="79" t="s">
        <v>82</v>
      </c>
      <c r="F72" s="80">
        <f>SUM(G72:AK72)</f>
        <v>598.130841121495</v>
      </c>
      <c r="G72" s="80">
        <f t="shared" ref="G72:AK72" si="32">G73/$B72</f>
        <v>19.3442919249574</v>
      </c>
      <c r="H72" s="80">
        <f t="shared" si="32"/>
        <v>18.5695161303324</v>
      </c>
      <c r="I72" s="80">
        <f t="shared" si="32"/>
        <v>19.5908813557351</v>
      </c>
      <c r="J72" s="80">
        <f t="shared" si="32"/>
        <v>19.4573405421145</v>
      </c>
      <c r="K72" s="80">
        <f t="shared" si="32"/>
        <v>18.1485722613109</v>
      </c>
      <c r="L72" s="80">
        <f t="shared" si="32"/>
        <v>19.3248243383171</v>
      </c>
      <c r="M72" s="80">
        <f t="shared" si="32"/>
        <v>19.7432066827806</v>
      </c>
      <c r="N72" s="80">
        <f t="shared" si="32"/>
        <v>19.0772102977162</v>
      </c>
      <c r="O72" s="80">
        <f t="shared" si="32"/>
        <v>18.5063318579032</v>
      </c>
      <c r="P72" s="80">
        <f t="shared" si="32"/>
        <v>19.285035323517</v>
      </c>
      <c r="Q72" s="80">
        <f t="shared" si="32"/>
        <v>22.451421213739</v>
      </c>
      <c r="R72" s="80">
        <f t="shared" si="32"/>
        <v>20.1339245620185</v>
      </c>
      <c r="S72" s="80">
        <f t="shared" si="32"/>
        <v>18.2757946476886</v>
      </c>
      <c r="T72" s="80">
        <f t="shared" si="32"/>
        <v>16.4142493672814</v>
      </c>
      <c r="U72" s="80">
        <f t="shared" si="32"/>
        <v>26.9786597174427</v>
      </c>
      <c r="V72" s="80">
        <f t="shared" si="32"/>
        <v>18.6938354555444</v>
      </c>
      <c r="W72" s="80">
        <f t="shared" si="32"/>
        <v>19.5446031453883</v>
      </c>
      <c r="X72" s="80">
        <f t="shared" si="32"/>
        <v>20.7941148247516</v>
      </c>
      <c r="Y72" s="80">
        <f t="shared" si="32"/>
        <v>17.1244747430463</v>
      </c>
      <c r="Z72" s="80">
        <f t="shared" si="32"/>
        <v>16.7682520611888</v>
      </c>
      <c r="AA72" s="80">
        <f t="shared" si="32"/>
        <v>17.3760164546361</v>
      </c>
      <c r="AB72" s="80">
        <f t="shared" si="32"/>
        <v>19.8147586020991</v>
      </c>
      <c r="AC72" s="80">
        <f t="shared" si="32"/>
        <v>23.6662669274181</v>
      </c>
      <c r="AD72" s="80">
        <f t="shared" si="32"/>
        <v>19.9631562581558</v>
      </c>
      <c r="AE72" s="80">
        <f t="shared" si="32"/>
        <v>17.9038612818756</v>
      </c>
      <c r="AF72" s="80">
        <f t="shared" si="32"/>
        <v>18.1458399684491</v>
      </c>
      <c r="AG72" s="80">
        <f t="shared" si="32"/>
        <v>16.8194825523476</v>
      </c>
      <c r="AH72" s="80">
        <f t="shared" si="32"/>
        <v>16.8824960564729</v>
      </c>
      <c r="AI72" s="80">
        <f t="shared" si="32"/>
        <v>19.8835782285558</v>
      </c>
      <c r="AJ72" s="80">
        <f t="shared" si="32"/>
        <v>20.5589668703327</v>
      </c>
      <c r="AK72" s="80">
        <f t="shared" si="32"/>
        <v>18.8898774683788</v>
      </c>
    </row>
    <row r="73" customHeight="1" spans="1:48">
      <c r="A73" s="81" t="s">
        <v>83</v>
      </c>
      <c r="B73" s="81">
        <v>0.16</v>
      </c>
      <c r="C73" s="82"/>
      <c r="D73" s="83"/>
      <c r="E73" s="79" t="s">
        <v>41</v>
      </c>
      <c r="F73" s="80">
        <f>SUM(G73:AK73)</f>
        <v>448000</v>
      </c>
      <c r="G73" s="80">
        <f t="shared" ref="G73:AK73" si="33">$B74*G$9</f>
        <v>14488.8746517931</v>
      </c>
      <c r="H73" s="80">
        <f t="shared" si="33"/>
        <v>13908.567581619</v>
      </c>
      <c r="I73" s="80">
        <f t="shared" si="33"/>
        <v>14673.5701354456</v>
      </c>
      <c r="J73" s="80">
        <f t="shared" si="33"/>
        <v>14573.5480660438</v>
      </c>
      <c r="K73" s="80">
        <f t="shared" si="33"/>
        <v>13593.2806237218</v>
      </c>
      <c r="L73" s="80">
        <f t="shared" si="33"/>
        <v>14474.2934293995</v>
      </c>
      <c r="M73" s="80">
        <f t="shared" si="33"/>
        <v>14787.6618054027</v>
      </c>
      <c r="N73" s="80">
        <f t="shared" si="33"/>
        <v>14288.8305129894</v>
      </c>
      <c r="O73" s="80">
        <f t="shared" si="33"/>
        <v>13861.2425615695</v>
      </c>
      <c r="P73" s="80">
        <f t="shared" si="33"/>
        <v>14444.4914573143</v>
      </c>
      <c r="Q73" s="80">
        <f t="shared" si="33"/>
        <v>16816.1144890905</v>
      </c>
      <c r="R73" s="80">
        <f t="shared" si="33"/>
        <v>15080.3094969518</v>
      </c>
      <c r="S73" s="80">
        <f t="shared" si="33"/>
        <v>13688.5701911187</v>
      </c>
      <c r="T73" s="80">
        <f t="shared" si="33"/>
        <v>12294.2727760938</v>
      </c>
      <c r="U73" s="80">
        <f t="shared" si="33"/>
        <v>20207.0161283645</v>
      </c>
      <c r="V73" s="80">
        <f t="shared" si="33"/>
        <v>14001.6827562028</v>
      </c>
      <c r="W73" s="80">
        <f t="shared" si="33"/>
        <v>14638.9077558959</v>
      </c>
      <c r="X73" s="80">
        <f t="shared" si="33"/>
        <v>15574.7920037389</v>
      </c>
      <c r="Y73" s="80">
        <f t="shared" si="33"/>
        <v>12826.2315825417</v>
      </c>
      <c r="Z73" s="80">
        <f t="shared" si="33"/>
        <v>12559.4207938304</v>
      </c>
      <c r="AA73" s="80">
        <f t="shared" si="33"/>
        <v>13014.6363245224</v>
      </c>
      <c r="AB73" s="80">
        <f t="shared" si="33"/>
        <v>14841.2541929722</v>
      </c>
      <c r="AC73" s="80">
        <f t="shared" si="33"/>
        <v>17726.0339286362</v>
      </c>
      <c r="AD73" s="80">
        <f t="shared" si="33"/>
        <v>14952.4040373587</v>
      </c>
      <c r="AE73" s="80">
        <f t="shared" si="33"/>
        <v>13409.9921001248</v>
      </c>
      <c r="AF73" s="80">
        <f t="shared" si="33"/>
        <v>13591.2341363683</v>
      </c>
      <c r="AG73" s="80">
        <f t="shared" si="33"/>
        <v>12597.7924317083</v>
      </c>
      <c r="AH73" s="80">
        <f t="shared" si="33"/>
        <v>12644.9895462982</v>
      </c>
      <c r="AI73" s="80">
        <f t="shared" si="33"/>
        <v>14892.8000931883</v>
      </c>
      <c r="AJ73" s="80">
        <f t="shared" si="33"/>
        <v>15398.6661858792</v>
      </c>
      <c r="AK73" s="80">
        <f t="shared" si="33"/>
        <v>14148.5182238157</v>
      </c>
    </row>
    <row r="74" customHeight="1" spans="1:48">
      <c r="A74" s="78" t="s">
        <v>41</v>
      </c>
      <c r="B74" s="78">
        <f>B73*$E$12</f>
        <v>448000</v>
      </c>
      <c r="C74" s="82"/>
      <c r="D74" s="83"/>
      <c r="E74" s="79" t="s">
        <v>46</v>
      </c>
      <c r="F74" s="84">
        <f t="shared" ref="F74:AK74" si="34">F75/F73</f>
        <v>0.1375</v>
      </c>
      <c r="G74" s="84">
        <f t="shared" si="34"/>
        <v>0.1375</v>
      </c>
      <c r="H74" s="84">
        <f t="shared" si="34"/>
        <v>0.1375</v>
      </c>
      <c r="I74" s="84">
        <f t="shared" si="34"/>
        <v>0.1375</v>
      </c>
      <c r="J74" s="84">
        <f t="shared" si="34"/>
        <v>0.1375</v>
      </c>
      <c r="K74" s="84">
        <f t="shared" si="34"/>
        <v>0.1375</v>
      </c>
      <c r="L74" s="84">
        <f t="shared" si="34"/>
        <v>0.1375</v>
      </c>
      <c r="M74" s="84">
        <f t="shared" si="34"/>
        <v>0.1375</v>
      </c>
      <c r="N74" s="84">
        <f t="shared" si="34"/>
        <v>0.1375</v>
      </c>
      <c r="O74" s="84">
        <f t="shared" si="34"/>
        <v>0.1375</v>
      </c>
      <c r="P74" s="84">
        <f t="shared" si="34"/>
        <v>0.1375</v>
      </c>
      <c r="Q74" s="84">
        <f t="shared" si="34"/>
        <v>0.1375</v>
      </c>
      <c r="R74" s="84">
        <f t="shared" si="34"/>
        <v>0.1375</v>
      </c>
      <c r="S74" s="84">
        <f t="shared" si="34"/>
        <v>0.1375</v>
      </c>
      <c r="T74" s="84">
        <f t="shared" si="34"/>
        <v>0.1375</v>
      </c>
      <c r="U74" s="84">
        <f t="shared" si="34"/>
        <v>0.1375</v>
      </c>
      <c r="V74" s="84">
        <f t="shared" si="34"/>
        <v>0.1375</v>
      </c>
      <c r="W74" s="84">
        <f t="shared" si="34"/>
        <v>0.1375</v>
      </c>
      <c r="X74" s="84">
        <f t="shared" si="34"/>
        <v>0.1375</v>
      </c>
      <c r="Y74" s="84">
        <f t="shared" si="34"/>
        <v>0.1375</v>
      </c>
      <c r="Z74" s="84">
        <f t="shared" si="34"/>
        <v>0.1375</v>
      </c>
      <c r="AA74" s="84">
        <f t="shared" si="34"/>
        <v>0.1375</v>
      </c>
      <c r="AB74" s="84">
        <f t="shared" si="34"/>
        <v>0.1375</v>
      </c>
      <c r="AC74" s="84">
        <f t="shared" si="34"/>
        <v>0.1375</v>
      </c>
      <c r="AD74" s="84">
        <f t="shared" si="34"/>
        <v>0.1375</v>
      </c>
      <c r="AE74" s="84">
        <f t="shared" si="34"/>
        <v>0.1375</v>
      </c>
      <c r="AF74" s="84">
        <f t="shared" si="34"/>
        <v>0.1375</v>
      </c>
      <c r="AG74" s="84">
        <f t="shared" si="34"/>
        <v>0.1375</v>
      </c>
      <c r="AH74" s="84">
        <f t="shared" si="34"/>
        <v>0.1375</v>
      </c>
      <c r="AI74" s="84">
        <f t="shared" si="34"/>
        <v>0.1375</v>
      </c>
      <c r="AJ74" s="84">
        <f t="shared" si="34"/>
        <v>0.1375</v>
      </c>
      <c r="AK74" s="84">
        <f t="shared" si="34"/>
        <v>0.1375</v>
      </c>
    </row>
    <row r="75" customHeight="1" spans="1:48">
      <c r="A75" s="85" t="s">
        <v>84</v>
      </c>
      <c r="B75" s="81">
        <v>0.22</v>
      </c>
      <c r="C75" s="82"/>
      <c r="D75" s="83"/>
      <c r="E75" s="86" t="s">
        <v>45</v>
      </c>
      <c r="F75" s="80">
        <f>SUM(G75:AK75)</f>
        <v>61600</v>
      </c>
      <c r="G75" s="80">
        <f t="shared" ref="G75:AK75" si="35">$B76*G$9</f>
        <v>1992.22026462155</v>
      </c>
      <c r="H75" s="80">
        <f t="shared" si="35"/>
        <v>1912.42804247261</v>
      </c>
      <c r="I75" s="80">
        <f t="shared" si="35"/>
        <v>2017.61589362377</v>
      </c>
      <c r="J75" s="80">
        <f t="shared" si="35"/>
        <v>2003.86285908102</v>
      </c>
      <c r="K75" s="80">
        <f t="shared" si="35"/>
        <v>1869.07608576175</v>
      </c>
      <c r="L75" s="80">
        <f t="shared" si="35"/>
        <v>1990.21534654243</v>
      </c>
      <c r="M75" s="80">
        <f t="shared" si="35"/>
        <v>2033.30349824287</v>
      </c>
      <c r="N75" s="80">
        <f t="shared" si="35"/>
        <v>1964.71419553604</v>
      </c>
      <c r="O75" s="80">
        <f t="shared" si="35"/>
        <v>1905.92085221581</v>
      </c>
      <c r="P75" s="80">
        <f t="shared" si="35"/>
        <v>1986.11757538071</v>
      </c>
      <c r="Q75" s="80">
        <f t="shared" si="35"/>
        <v>2312.21574224994</v>
      </c>
      <c r="R75" s="80">
        <f t="shared" si="35"/>
        <v>2073.54255583088</v>
      </c>
      <c r="S75" s="80">
        <f t="shared" si="35"/>
        <v>1882.17840127883</v>
      </c>
      <c r="T75" s="80">
        <f t="shared" si="35"/>
        <v>1690.4625067129</v>
      </c>
      <c r="U75" s="80">
        <f t="shared" si="35"/>
        <v>2778.46471765013</v>
      </c>
      <c r="V75" s="80">
        <f t="shared" si="35"/>
        <v>1925.23137897788</v>
      </c>
      <c r="W75" s="80">
        <f t="shared" si="35"/>
        <v>2012.84981643568</v>
      </c>
      <c r="X75" s="80">
        <f t="shared" si="35"/>
        <v>2141.53390051411</v>
      </c>
      <c r="Y75" s="80">
        <f t="shared" si="35"/>
        <v>1763.60684259948</v>
      </c>
      <c r="Z75" s="80">
        <f t="shared" si="35"/>
        <v>1726.92035915168</v>
      </c>
      <c r="AA75" s="80">
        <f t="shared" si="35"/>
        <v>1789.51249462183</v>
      </c>
      <c r="AB75" s="80">
        <f t="shared" si="35"/>
        <v>2040.67245153368</v>
      </c>
      <c r="AC75" s="80">
        <f t="shared" si="35"/>
        <v>2437.32966518747</v>
      </c>
      <c r="AD75" s="80">
        <f t="shared" si="35"/>
        <v>2055.95555513682</v>
      </c>
      <c r="AE75" s="80">
        <f t="shared" si="35"/>
        <v>1843.87391376717</v>
      </c>
      <c r="AF75" s="80">
        <f t="shared" si="35"/>
        <v>1868.79469375065</v>
      </c>
      <c r="AG75" s="80">
        <f t="shared" si="35"/>
        <v>1732.1964593599</v>
      </c>
      <c r="AH75" s="80">
        <f t="shared" si="35"/>
        <v>1738.686062616</v>
      </c>
      <c r="AI75" s="80">
        <f t="shared" si="35"/>
        <v>2047.76001281339</v>
      </c>
      <c r="AJ75" s="80">
        <f t="shared" si="35"/>
        <v>2117.31660055839</v>
      </c>
      <c r="AK75" s="80">
        <f t="shared" si="35"/>
        <v>1945.42125577466</v>
      </c>
    </row>
    <row r="76" customHeight="1" spans="1:48">
      <c r="A76" s="78" t="s">
        <v>45</v>
      </c>
      <c r="B76" s="78">
        <f>B75*$B$16</f>
        <v>61600</v>
      </c>
      <c r="C76" s="82"/>
      <c r="D76" s="83"/>
      <c r="E76" s="86" t="s">
        <v>44</v>
      </c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48"/>
    </row>
    <row r="77" customHeight="1" spans="1:48">
      <c r="A77" s="78" t="s">
        <v>46</v>
      </c>
      <c r="B77" s="87">
        <f>B76/B74</f>
        <v>0.1375</v>
      </c>
      <c r="C77" s="82"/>
      <c r="D77" s="83"/>
      <c r="E77" s="79" t="s">
        <v>85</v>
      </c>
      <c r="F77" s="88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40"/>
    </row>
    <row r="78" customHeight="1" spans="1:48">
      <c r="A78" s="78"/>
      <c r="B78" s="87"/>
      <c r="C78" s="82"/>
      <c r="D78" s="83"/>
      <c r="E78" s="79" t="s">
        <v>86</v>
      </c>
      <c r="F78" s="88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40"/>
    </row>
    <row r="79" ht="19.5" customHeight="1" spans="1:48">
      <c r="A79" s="78"/>
      <c r="B79" s="78"/>
      <c r="C79" s="82"/>
      <c r="D79" s="83"/>
      <c r="E79" s="79" t="s">
        <v>43</v>
      </c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48"/>
    </row>
    <row r="80" s="5" customFormat="1" customHeight="1" spans="1:48">
      <c r="A80" s="87"/>
      <c r="B80" s="87"/>
      <c r="C80" s="91"/>
      <c r="D80" s="92"/>
      <c r="E80" s="93" t="s">
        <v>47</v>
      </c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4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</row>
    <row r="81" customHeight="1" spans="1:48">
      <c r="A81" s="77" t="s">
        <v>80</v>
      </c>
      <c r="B81" s="78">
        <v>580</v>
      </c>
      <c r="C81" s="82"/>
      <c r="D81" s="79" t="s">
        <v>88</v>
      </c>
      <c r="E81" s="79" t="s">
        <v>82</v>
      </c>
      <c r="F81" s="80">
        <f>SUM(G81:AK81)</f>
        <v>386.206896551724</v>
      </c>
      <c r="G81" s="80">
        <f t="shared" ref="G81:AK81" si="36">G82/$B81</f>
        <v>12.4904091825803</v>
      </c>
      <c r="H81" s="80">
        <f t="shared" si="36"/>
        <v>11.9901444669129</v>
      </c>
      <c r="I81" s="80">
        <f t="shared" si="36"/>
        <v>12.6496294271083</v>
      </c>
      <c r="J81" s="80">
        <f t="shared" si="36"/>
        <v>12.5634035052101</v>
      </c>
      <c r="K81" s="80">
        <f t="shared" si="36"/>
        <v>11.7183453652774</v>
      </c>
      <c r="L81" s="80">
        <f t="shared" si="36"/>
        <v>12.4778391632754</v>
      </c>
      <c r="M81" s="80">
        <f t="shared" si="36"/>
        <v>12.7479843150023</v>
      </c>
      <c r="N81" s="80">
        <f t="shared" si="36"/>
        <v>12.317957338784</v>
      </c>
      <c r="O81" s="80">
        <f t="shared" si="36"/>
        <v>11.9493470358358</v>
      </c>
      <c r="P81" s="80">
        <f t="shared" si="36"/>
        <v>12.4521478080295</v>
      </c>
      <c r="Q81" s="80">
        <f t="shared" si="36"/>
        <v>14.4966504216297</v>
      </c>
      <c r="R81" s="80">
        <f t="shared" si="36"/>
        <v>13.0002668077171</v>
      </c>
      <c r="S81" s="80">
        <f t="shared" si="36"/>
        <v>11.8004915440679</v>
      </c>
      <c r="T81" s="80">
        <f t="shared" si="36"/>
        <v>10.598511013874</v>
      </c>
      <c r="U81" s="80">
        <f t="shared" si="36"/>
        <v>17.4198414899694</v>
      </c>
      <c r="V81" s="80">
        <f t="shared" si="36"/>
        <v>12.0704161691403</v>
      </c>
      <c r="W81" s="80">
        <f t="shared" si="36"/>
        <v>12.6197480654275</v>
      </c>
      <c r="X81" s="80">
        <f t="shared" si="36"/>
        <v>13.4265448308094</v>
      </c>
      <c r="Y81" s="80">
        <f t="shared" si="36"/>
        <v>11.0570961918463</v>
      </c>
      <c r="Z81" s="80">
        <f t="shared" si="36"/>
        <v>10.8270868912331</v>
      </c>
      <c r="AA81" s="80">
        <f t="shared" si="36"/>
        <v>11.2195140728642</v>
      </c>
      <c r="AB81" s="80">
        <f t="shared" si="36"/>
        <v>12.794184649114</v>
      </c>
      <c r="AC81" s="80">
        <f t="shared" si="36"/>
        <v>15.2810637315829</v>
      </c>
      <c r="AD81" s="80">
        <f t="shared" si="36"/>
        <v>12.8900034804816</v>
      </c>
      <c r="AE81" s="80">
        <f t="shared" si="36"/>
        <v>11.560338017349</v>
      </c>
      <c r="AF81" s="80">
        <f t="shared" si="36"/>
        <v>11.7165811520417</v>
      </c>
      <c r="AG81" s="80">
        <f t="shared" si="36"/>
        <v>10.8601658894037</v>
      </c>
      <c r="AH81" s="80">
        <f t="shared" si="36"/>
        <v>10.9008530571536</v>
      </c>
      <c r="AI81" s="80">
        <f t="shared" si="36"/>
        <v>12.8386207699899</v>
      </c>
      <c r="AJ81" s="80">
        <f t="shared" si="36"/>
        <v>13.2747122292062</v>
      </c>
      <c r="AK81" s="80">
        <f t="shared" si="36"/>
        <v>12.1969984688066</v>
      </c>
    </row>
    <row r="82" customHeight="1" spans="1:48">
      <c r="A82" s="81" t="s">
        <v>83</v>
      </c>
      <c r="B82" s="81">
        <v>0.08</v>
      </c>
      <c r="C82" s="82"/>
      <c r="D82" s="83"/>
      <c r="E82" s="79" t="s">
        <v>41</v>
      </c>
      <c r="F82" s="80">
        <f>SUM(G82:AK82)</f>
        <v>224000</v>
      </c>
      <c r="G82" s="80">
        <f t="shared" ref="G82:AK82" si="37">$B83*G$9</f>
        <v>7244.43732589655</v>
      </c>
      <c r="H82" s="80">
        <f t="shared" si="37"/>
        <v>6954.28379080948</v>
      </c>
      <c r="I82" s="80">
        <f t="shared" si="37"/>
        <v>7336.7850677228</v>
      </c>
      <c r="J82" s="80">
        <f t="shared" si="37"/>
        <v>7286.77403302188</v>
      </c>
      <c r="K82" s="80">
        <f t="shared" si="37"/>
        <v>6796.64031186092</v>
      </c>
      <c r="L82" s="80">
        <f t="shared" si="37"/>
        <v>7237.14671469973</v>
      </c>
      <c r="M82" s="80">
        <f t="shared" si="37"/>
        <v>7393.83090270135</v>
      </c>
      <c r="N82" s="80">
        <f t="shared" si="37"/>
        <v>7144.4152564947</v>
      </c>
      <c r="O82" s="80">
        <f t="shared" si="37"/>
        <v>6930.62128078475</v>
      </c>
      <c r="P82" s="80">
        <f t="shared" si="37"/>
        <v>7222.24572865713</v>
      </c>
      <c r="Q82" s="80">
        <f t="shared" si="37"/>
        <v>8408.05724454525</v>
      </c>
      <c r="R82" s="80">
        <f t="shared" si="37"/>
        <v>7540.15474847591</v>
      </c>
      <c r="S82" s="80">
        <f t="shared" si="37"/>
        <v>6844.28509555937</v>
      </c>
      <c r="T82" s="80">
        <f t="shared" si="37"/>
        <v>6147.13638804689</v>
      </c>
      <c r="U82" s="80">
        <f t="shared" si="37"/>
        <v>10103.5080641823</v>
      </c>
      <c r="V82" s="80">
        <f t="shared" si="37"/>
        <v>7000.84137810139</v>
      </c>
      <c r="W82" s="80">
        <f t="shared" si="37"/>
        <v>7319.45387794793</v>
      </c>
      <c r="X82" s="80">
        <f t="shared" si="37"/>
        <v>7787.39600186947</v>
      </c>
      <c r="Y82" s="80">
        <f t="shared" si="37"/>
        <v>6413.11579127085</v>
      </c>
      <c r="Z82" s="80">
        <f t="shared" si="37"/>
        <v>6279.71039691519</v>
      </c>
      <c r="AA82" s="80">
        <f t="shared" si="37"/>
        <v>6507.31816226121</v>
      </c>
      <c r="AB82" s="80">
        <f t="shared" si="37"/>
        <v>7420.62709648611</v>
      </c>
      <c r="AC82" s="80">
        <f t="shared" si="37"/>
        <v>8863.01696431809</v>
      </c>
      <c r="AD82" s="80">
        <f t="shared" si="37"/>
        <v>7476.20201867934</v>
      </c>
      <c r="AE82" s="80">
        <f t="shared" si="37"/>
        <v>6704.99605006242</v>
      </c>
      <c r="AF82" s="80">
        <f t="shared" si="37"/>
        <v>6795.61706818417</v>
      </c>
      <c r="AG82" s="80">
        <f t="shared" si="37"/>
        <v>6298.89621585417</v>
      </c>
      <c r="AH82" s="80">
        <f t="shared" si="37"/>
        <v>6322.4947731491</v>
      </c>
      <c r="AI82" s="80">
        <f t="shared" si="37"/>
        <v>7446.40004659413</v>
      </c>
      <c r="AJ82" s="80">
        <f t="shared" si="37"/>
        <v>7699.33309293959</v>
      </c>
      <c r="AK82" s="80">
        <f t="shared" si="37"/>
        <v>7074.25911190786</v>
      </c>
    </row>
    <row r="83" customHeight="1" spans="1:48">
      <c r="A83" s="78" t="s">
        <v>41</v>
      </c>
      <c r="B83" s="78">
        <f>B82*$E$12</f>
        <v>224000</v>
      </c>
      <c r="C83" s="82"/>
      <c r="D83" s="83"/>
      <c r="E83" s="79" t="s">
        <v>46</v>
      </c>
      <c r="F83" s="84">
        <f t="shared" ref="F83:AK83" si="38">F84/F82</f>
        <v>0.125</v>
      </c>
      <c r="G83" s="84">
        <f t="shared" si="38"/>
        <v>0.125</v>
      </c>
      <c r="H83" s="84">
        <f t="shared" si="38"/>
        <v>0.125</v>
      </c>
      <c r="I83" s="84">
        <f t="shared" si="38"/>
        <v>0.125</v>
      </c>
      <c r="J83" s="84">
        <f t="shared" si="38"/>
        <v>0.125</v>
      </c>
      <c r="K83" s="84">
        <f t="shared" si="38"/>
        <v>0.125</v>
      </c>
      <c r="L83" s="84">
        <f t="shared" si="38"/>
        <v>0.125</v>
      </c>
      <c r="M83" s="84">
        <f t="shared" si="38"/>
        <v>0.125</v>
      </c>
      <c r="N83" s="84">
        <f t="shared" si="38"/>
        <v>0.125</v>
      </c>
      <c r="O83" s="84">
        <f t="shared" si="38"/>
        <v>0.125</v>
      </c>
      <c r="P83" s="84">
        <f t="shared" si="38"/>
        <v>0.125</v>
      </c>
      <c r="Q83" s="84">
        <f t="shared" si="38"/>
        <v>0.125</v>
      </c>
      <c r="R83" s="84">
        <f t="shared" si="38"/>
        <v>0.125</v>
      </c>
      <c r="S83" s="84">
        <f t="shared" si="38"/>
        <v>0.125</v>
      </c>
      <c r="T83" s="84">
        <f t="shared" si="38"/>
        <v>0.125</v>
      </c>
      <c r="U83" s="84">
        <f t="shared" si="38"/>
        <v>0.125</v>
      </c>
      <c r="V83" s="84">
        <f t="shared" si="38"/>
        <v>0.125</v>
      </c>
      <c r="W83" s="84">
        <f t="shared" si="38"/>
        <v>0.125</v>
      </c>
      <c r="X83" s="84">
        <f t="shared" si="38"/>
        <v>0.125</v>
      </c>
      <c r="Y83" s="84">
        <f t="shared" si="38"/>
        <v>0.125</v>
      </c>
      <c r="Z83" s="84">
        <f t="shared" si="38"/>
        <v>0.125</v>
      </c>
      <c r="AA83" s="84">
        <f t="shared" si="38"/>
        <v>0.125</v>
      </c>
      <c r="AB83" s="84">
        <f t="shared" si="38"/>
        <v>0.125</v>
      </c>
      <c r="AC83" s="84">
        <f t="shared" si="38"/>
        <v>0.125</v>
      </c>
      <c r="AD83" s="84">
        <f t="shared" si="38"/>
        <v>0.125</v>
      </c>
      <c r="AE83" s="84">
        <f t="shared" si="38"/>
        <v>0.125</v>
      </c>
      <c r="AF83" s="84">
        <f t="shared" si="38"/>
        <v>0.125</v>
      </c>
      <c r="AG83" s="84">
        <f t="shared" si="38"/>
        <v>0.125</v>
      </c>
      <c r="AH83" s="84">
        <f t="shared" si="38"/>
        <v>0.125</v>
      </c>
      <c r="AI83" s="84">
        <f t="shared" si="38"/>
        <v>0.125</v>
      </c>
      <c r="AJ83" s="84">
        <f t="shared" si="38"/>
        <v>0.125</v>
      </c>
      <c r="AK83" s="84">
        <f t="shared" si="38"/>
        <v>0.125</v>
      </c>
    </row>
    <row r="84" customHeight="1" spans="1:48">
      <c r="A84" s="85" t="s">
        <v>84</v>
      </c>
      <c r="B84" s="81">
        <v>0.1</v>
      </c>
      <c r="C84" s="82"/>
      <c r="D84" s="83"/>
      <c r="E84" s="86" t="s">
        <v>45</v>
      </c>
      <c r="F84" s="80">
        <f>SUM(G84:AK84)</f>
        <v>28000</v>
      </c>
      <c r="G84" s="80">
        <f t="shared" ref="G84:AK84" si="39">$B85*G$9</f>
        <v>905.554665737068</v>
      </c>
      <c r="H84" s="80">
        <f t="shared" si="39"/>
        <v>869.285473851185</v>
      </c>
      <c r="I84" s="80">
        <f t="shared" si="39"/>
        <v>917.09813346535</v>
      </c>
      <c r="J84" s="80">
        <f t="shared" si="39"/>
        <v>910.846754127735</v>
      </c>
      <c r="K84" s="80">
        <f t="shared" si="39"/>
        <v>849.580038982615</v>
      </c>
      <c r="L84" s="80">
        <f t="shared" si="39"/>
        <v>904.643339337467</v>
      </c>
      <c r="M84" s="80">
        <f t="shared" si="39"/>
        <v>924.228862837668</v>
      </c>
      <c r="N84" s="80">
        <f t="shared" si="39"/>
        <v>893.051907061837</v>
      </c>
      <c r="O84" s="80">
        <f t="shared" si="39"/>
        <v>866.327660098093</v>
      </c>
      <c r="P84" s="80">
        <f t="shared" si="39"/>
        <v>902.780716082142</v>
      </c>
      <c r="Q84" s="80">
        <f t="shared" si="39"/>
        <v>1051.00715556816</v>
      </c>
      <c r="R84" s="80">
        <f t="shared" si="39"/>
        <v>942.519343559489</v>
      </c>
      <c r="S84" s="80">
        <f t="shared" si="39"/>
        <v>855.535636944921</v>
      </c>
      <c r="T84" s="80">
        <f t="shared" si="39"/>
        <v>768.392048505862</v>
      </c>
      <c r="U84" s="80">
        <f t="shared" si="39"/>
        <v>1262.93850802278</v>
      </c>
      <c r="V84" s="80">
        <f t="shared" si="39"/>
        <v>875.105172262673</v>
      </c>
      <c r="W84" s="80">
        <f t="shared" si="39"/>
        <v>914.931734743491</v>
      </c>
      <c r="X84" s="80">
        <f t="shared" si="39"/>
        <v>973.424500233684</v>
      </c>
      <c r="Y84" s="80">
        <f t="shared" si="39"/>
        <v>801.639473908857</v>
      </c>
      <c r="Z84" s="80">
        <f t="shared" si="39"/>
        <v>784.963799614399</v>
      </c>
      <c r="AA84" s="80">
        <f t="shared" si="39"/>
        <v>813.414770282651</v>
      </c>
      <c r="AB84" s="80">
        <f t="shared" si="39"/>
        <v>927.578387060764</v>
      </c>
      <c r="AC84" s="80">
        <f t="shared" si="39"/>
        <v>1107.87712053976</v>
      </c>
      <c r="AD84" s="80">
        <f t="shared" si="39"/>
        <v>934.525252334917</v>
      </c>
      <c r="AE84" s="80">
        <f t="shared" si="39"/>
        <v>838.124506257803</v>
      </c>
      <c r="AF84" s="80">
        <f t="shared" si="39"/>
        <v>849.452133523022</v>
      </c>
      <c r="AG84" s="80">
        <f t="shared" si="39"/>
        <v>787.362026981771</v>
      </c>
      <c r="AH84" s="80">
        <f t="shared" si="39"/>
        <v>790.311846643638</v>
      </c>
      <c r="AI84" s="80">
        <f t="shared" si="39"/>
        <v>930.800005824267</v>
      </c>
      <c r="AJ84" s="80">
        <f t="shared" si="39"/>
        <v>962.416636617449</v>
      </c>
      <c r="AK84" s="80">
        <f t="shared" si="39"/>
        <v>884.282388988482</v>
      </c>
    </row>
    <row r="85" customHeight="1" spans="1:48">
      <c r="A85" s="78" t="s">
        <v>45</v>
      </c>
      <c r="B85" s="78">
        <f>B84*$B$16</f>
        <v>28000</v>
      </c>
      <c r="C85" s="82"/>
      <c r="D85" s="83"/>
      <c r="E85" s="86" t="s">
        <v>44</v>
      </c>
      <c r="F85" s="90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48"/>
    </row>
    <row r="86" customHeight="1" spans="1:48">
      <c r="A86" s="78" t="s">
        <v>46</v>
      </c>
      <c r="B86" s="87">
        <f>B85/B83</f>
        <v>0.125</v>
      </c>
      <c r="C86" s="82"/>
      <c r="D86" s="83"/>
      <c r="E86" s="79" t="s">
        <v>85</v>
      </c>
      <c r="F86" s="88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40"/>
    </row>
    <row r="87" customHeight="1" spans="1:48">
      <c r="A87" s="78"/>
      <c r="B87" s="87"/>
      <c r="C87" s="82"/>
      <c r="D87" s="83"/>
      <c r="E87" s="79" t="s">
        <v>86</v>
      </c>
      <c r="F87" s="88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9"/>
      <c r="AH87" s="89"/>
      <c r="AI87" s="89"/>
      <c r="AJ87" s="89"/>
      <c r="AK87" s="40"/>
    </row>
    <row r="88" ht="19.5" customHeight="1" spans="1:48">
      <c r="A88" s="78"/>
      <c r="B88" s="78"/>
      <c r="C88" s="82"/>
      <c r="D88" s="83"/>
      <c r="E88" s="79" t="s">
        <v>43</v>
      </c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48"/>
    </row>
    <row r="89" s="5" customFormat="1" customHeight="1" spans="1:48">
      <c r="A89" s="87"/>
      <c r="B89" s="87"/>
      <c r="C89" s="91"/>
      <c r="D89" s="92"/>
      <c r="E89" s="93" t="s">
        <v>47</v>
      </c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90"/>
      <c r="AH89" s="90"/>
      <c r="AI89" s="90"/>
      <c r="AJ89" s="90"/>
      <c r="AK89" s="4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</row>
    <row r="90" customHeight="1" spans="1:48">
      <c r="A90" s="77" t="s">
        <v>80</v>
      </c>
      <c r="B90" s="78">
        <v>837</v>
      </c>
      <c r="C90" s="82"/>
      <c r="D90" s="79" t="s">
        <v>89</v>
      </c>
      <c r="E90" s="79" t="s">
        <v>82</v>
      </c>
      <c r="F90" s="80">
        <f>SUM(G90:AK90)</f>
        <v>735.961768219833</v>
      </c>
      <c r="G90" s="80">
        <f t="shared" ref="G90:AK90" si="40">G91/$B90</f>
        <v>23.8019147505562</v>
      </c>
      <c r="H90" s="80">
        <f t="shared" si="40"/>
        <v>22.8486026579762</v>
      </c>
      <c r="I90" s="80">
        <f t="shared" si="40"/>
        <v>24.1053272834381</v>
      </c>
      <c r="J90" s="80">
        <f t="shared" si="40"/>
        <v>23.9410138480408</v>
      </c>
      <c r="K90" s="80">
        <f t="shared" si="40"/>
        <v>22.3306581333543</v>
      </c>
      <c r="L90" s="80">
        <f t="shared" si="40"/>
        <v>23.7779611295392</v>
      </c>
      <c r="M90" s="80">
        <f t="shared" si="40"/>
        <v>24.292753861922</v>
      </c>
      <c r="N90" s="80">
        <f t="shared" si="40"/>
        <v>23.4732878797616</v>
      </c>
      <c r="O90" s="80">
        <f t="shared" si="40"/>
        <v>22.7708584494122</v>
      </c>
      <c r="P90" s="80">
        <f t="shared" si="40"/>
        <v>23.7290032900921</v>
      </c>
      <c r="Q90" s="80">
        <f t="shared" si="40"/>
        <v>27.6250387365585</v>
      </c>
      <c r="R90" s="80">
        <f t="shared" si="40"/>
        <v>24.7735072381228</v>
      </c>
      <c r="S90" s="80">
        <f t="shared" si="40"/>
        <v>22.4871971478952</v>
      </c>
      <c r="T90" s="80">
        <f t="shared" si="40"/>
        <v>20.1966846680155</v>
      </c>
      <c r="U90" s="80">
        <f t="shared" si="40"/>
        <v>33.1955163399059</v>
      </c>
      <c r="V90" s="80">
        <f t="shared" si="40"/>
        <v>23.0015696413128</v>
      </c>
      <c r="W90" s="80">
        <f t="shared" si="40"/>
        <v>24.0483849036521</v>
      </c>
      <c r="X90" s="80">
        <f t="shared" si="40"/>
        <v>25.5858291578746</v>
      </c>
      <c r="Y90" s="80">
        <f t="shared" si="40"/>
        <v>21.0705715961707</v>
      </c>
      <c r="Z90" s="80">
        <f t="shared" si="40"/>
        <v>20.6322623554561</v>
      </c>
      <c r="AA90" s="80">
        <f t="shared" si="40"/>
        <v>21.3800775940482</v>
      </c>
      <c r="AB90" s="80">
        <f t="shared" si="40"/>
        <v>24.3807939251336</v>
      </c>
      <c r="AC90" s="80">
        <f t="shared" si="40"/>
        <v>29.1198287358121</v>
      </c>
      <c r="AD90" s="80">
        <f t="shared" si="40"/>
        <v>24.5633877555175</v>
      </c>
      <c r="AE90" s="80">
        <f t="shared" si="40"/>
        <v>22.029556914781</v>
      </c>
      <c r="AF90" s="80">
        <f t="shared" si="40"/>
        <v>22.3272962216326</v>
      </c>
      <c r="AG90" s="80">
        <f t="shared" si="40"/>
        <v>20.6952982002377</v>
      </c>
      <c r="AH90" s="80">
        <f t="shared" si="40"/>
        <v>20.772832289319</v>
      </c>
      <c r="AI90" s="80">
        <f t="shared" si="40"/>
        <v>24.4654720766235</v>
      </c>
      <c r="AJ90" s="80">
        <f t="shared" si="40"/>
        <v>25.2964946303272</v>
      </c>
      <c r="AK90" s="80">
        <f t="shared" si="40"/>
        <v>23.2427868073436</v>
      </c>
    </row>
    <row r="91" customHeight="1" spans="1:48">
      <c r="A91" s="81" t="s">
        <v>83</v>
      </c>
      <c r="B91" s="81">
        <v>0.22</v>
      </c>
      <c r="C91" s="82"/>
      <c r="D91" s="83"/>
      <c r="E91" s="79" t="s">
        <v>41</v>
      </c>
      <c r="F91" s="80">
        <f>SUM(G91:AK91)</f>
        <v>616000</v>
      </c>
      <c r="G91" s="80">
        <f t="shared" ref="G91:AK91" si="41">$B92*G$9</f>
        <v>19922.2026462155</v>
      </c>
      <c r="H91" s="80">
        <f t="shared" si="41"/>
        <v>19124.2804247261</v>
      </c>
      <c r="I91" s="80">
        <f t="shared" si="41"/>
        <v>20176.1589362377</v>
      </c>
      <c r="J91" s="80">
        <f t="shared" si="41"/>
        <v>20038.6285908102</v>
      </c>
      <c r="K91" s="80">
        <f t="shared" si="41"/>
        <v>18690.7608576175</v>
      </c>
      <c r="L91" s="80">
        <f t="shared" si="41"/>
        <v>19902.1534654243</v>
      </c>
      <c r="M91" s="80">
        <f t="shared" si="41"/>
        <v>20333.0349824287</v>
      </c>
      <c r="N91" s="80">
        <f t="shared" si="41"/>
        <v>19647.1419553604</v>
      </c>
      <c r="O91" s="80">
        <f t="shared" si="41"/>
        <v>19059.2085221581</v>
      </c>
      <c r="P91" s="80">
        <f t="shared" si="41"/>
        <v>19861.1757538071</v>
      </c>
      <c r="Q91" s="80">
        <f t="shared" si="41"/>
        <v>23122.1574224994</v>
      </c>
      <c r="R91" s="80">
        <f t="shared" si="41"/>
        <v>20735.4255583088</v>
      </c>
      <c r="S91" s="80">
        <f t="shared" si="41"/>
        <v>18821.7840127883</v>
      </c>
      <c r="T91" s="80">
        <f t="shared" si="41"/>
        <v>16904.625067129</v>
      </c>
      <c r="U91" s="80">
        <f t="shared" si="41"/>
        <v>27784.6471765013</v>
      </c>
      <c r="V91" s="80">
        <f t="shared" si="41"/>
        <v>19252.3137897788</v>
      </c>
      <c r="W91" s="80">
        <f t="shared" si="41"/>
        <v>20128.4981643568</v>
      </c>
      <c r="X91" s="80">
        <f t="shared" si="41"/>
        <v>21415.3390051411</v>
      </c>
      <c r="Y91" s="80">
        <f t="shared" si="41"/>
        <v>17636.0684259948</v>
      </c>
      <c r="Z91" s="80">
        <f t="shared" si="41"/>
        <v>17269.2035915168</v>
      </c>
      <c r="AA91" s="80">
        <f t="shared" si="41"/>
        <v>17895.1249462183</v>
      </c>
      <c r="AB91" s="80">
        <f t="shared" si="41"/>
        <v>20406.7245153368</v>
      </c>
      <c r="AC91" s="80">
        <f t="shared" si="41"/>
        <v>24373.2966518747</v>
      </c>
      <c r="AD91" s="80">
        <f t="shared" si="41"/>
        <v>20559.5555513682</v>
      </c>
      <c r="AE91" s="80">
        <f t="shared" si="41"/>
        <v>18438.7391376717</v>
      </c>
      <c r="AF91" s="80">
        <f t="shared" si="41"/>
        <v>18687.9469375065</v>
      </c>
      <c r="AG91" s="80">
        <f t="shared" si="41"/>
        <v>17321.964593599</v>
      </c>
      <c r="AH91" s="80">
        <f t="shared" si="41"/>
        <v>17386.86062616</v>
      </c>
      <c r="AI91" s="80">
        <f t="shared" si="41"/>
        <v>20477.6001281339</v>
      </c>
      <c r="AJ91" s="80">
        <f t="shared" si="41"/>
        <v>21173.1660055839</v>
      </c>
      <c r="AK91" s="80">
        <f t="shared" si="41"/>
        <v>19454.2125577466</v>
      </c>
    </row>
    <row r="92" customHeight="1" spans="1:48">
      <c r="A92" s="78" t="s">
        <v>41</v>
      </c>
      <c r="B92" s="78">
        <f>B91*$E$12</f>
        <v>616000</v>
      </c>
      <c r="C92" s="82"/>
      <c r="D92" s="83"/>
      <c r="E92" s="79" t="s">
        <v>46</v>
      </c>
      <c r="F92" s="84">
        <f t="shared" ref="F92:AK92" si="42">F93/F91</f>
        <v>0.159090909090909</v>
      </c>
      <c r="G92" s="84">
        <f t="shared" si="42"/>
        <v>0.159090909090909</v>
      </c>
      <c r="H92" s="84">
        <f t="shared" si="42"/>
        <v>0.159090909090909</v>
      </c>
      <c r="I92" s="84">
        <f t="shared" si="42"/>
        <v>0.159090909090909</v>
      </c>
      <c r="J92" s="84">
        <f t="shared" si="42"/>
        <v>0.159090909090909</v>
      </c>
      <c r="K92" s="84">
        <f t="shared" si="42"/>
        <v>0.159090909090909</v>
      </c>
      <c r="L92" s="84">
        <f t="shared" si="42"/>
        <v>0.159090909090909</v>
      </c>
      <c r="M92" s="84">
        <f t="shared" si="42"/>
        <v>0.159090909090909</v>
      </c>
      <c r="N92" s="84">
        <f t="shared" si="42"/>
        <v>0.159090909090909</v>
      </c>
      <c r="O92" s="84">
        <f t="shared" si="42"/>
        <v>0.159090909090909</v>
      </c>
      <c r="P92" s="84">
        <f t="shared" si="42"/>
        <v>0.159090909090909</v>
      </c>
      <c r="Q92" s="84">
        <f t="shared" si="42"/>
        <v>0.159090909090909</v>
      </c>
      <c r="R92" s="84">
        <f t="shared" si="42"/>
        <v>0.159090909090909</v>
      </c>
      <c r="S92" s="84">
        <f t="shared" si="42"/>
        <v>0.159090909090909</v>
      </c>
      <c r="T92" s="84">
        <f t="shared" si="42"/>
        <v>0.159090909090909</v>
      </c>
      <c r="U92" s="84">
        <f t="shared" si="42"/>
        <v>0.159090909090909</v>
      </c>
      <c r="V92" s="84">
        <f t="shared" si="42"/>
        <v>0.159090909090909</v>
      </c>
      <c r="W92" s="84">
        <f t="shared" si="42"/>
        <v>0.159090909090909</v>
      </c>
      <c r="X92" s="84">
        <f t="shared" si="42"/>
        <v>0.159090909090909</v>
      </c>
      <c r="Y92" s="84">
        <f t="shared" si="42"/>
        <v>0.159090909090909</v>
      </c>
      <c r="Z92" s="84">
        <f t="shared" si="42"/>
        <v>0.159090909090909</v>
      </c>
      <c r="AA92" s="84">
        <f t="shared" si="42"/>
        <v>0.159090909090909</v>
      </c>
      <c r="AB92" s="84">
        <f t="shared" si="42"/>
        <v>0.159090909090909</v>
      </c>
      <c r="AC92" s="84">
        <f t="shared" si="42"/>
        <v>0.159090909090909</v>
      </c>
      <c r="AD92" s="84">
        <f t="shared" si="42"/>
        <v>0.159090909090909</v>
      </c>
      <c r="AE92" s="84">
        <f t="shared" si="42"/>
        <v>0.159090909090909</v>
      </c>
      <c r="AF92" s="84">
        <f t="shared" si="42"/>
        <v>0.159090909090909</v>
      </c>
      <c r="AG92" s="84">
        <f t="shared" si="42"/>
        <v>0.159090909090909</v>
      </c>
      <c r="AH92" s="84">
        <f t="shared" si="42"/>
        <v>0.159090909090909</v>
      </c>
      <c r="AI92" s="84">
        <f t="shared" si="42"/>
        <v>0.159090909090909</v>
      </c>
      <c r="AJ92" s="84">
        <f t="shared" si="42"/>
        <v>0.159090909090909</v>
      </c>
      <c r="AK92" s="84">
        <f t="shared" si="42"/>
        <v>0.159090909090909</v>
      </c>
    </row>
    <row r="93" customHeight="1" spans="1:48">
      <c r="A93" s="85" t="s">
        <v>84</v>
      </c>
      <c r="B93" s="81">
        <v>0.35</v>
      </c>
      <c r="C93" s="82"/>
      <c r="D93" s="83"/>
      <c r="E93" s="86" t="s">
        <v>45</v>
      </c>
      <c r="F93" s="80">
        <f>SUM(G93:AK93)</f>
        <v>98000</v>
      </c>
      <c r="G93" s="80">
        <f t="shared" ref="G93:AK93" si="43">$B94*G$9</f>
        <v>3169.44133007974</v>
      </c>
      <c r="H93" s="80">
        <f t="shared" si="43"/>
        <v>3042.49915847915</v>
      </c>
      <c r="I93" s="80">
        <f t="shared" si="43"/>
        <v>3209.84346712873</v>
      </c>
      <c r="J93" s="80">
        <f t="shared" si="43"/>
        <v>3187.96363944707</v>
      </c>
      <c r="K93" s="80">
        <f t="shared" si="43"/>
        <v>2973.53013643915</v>
      </c>
      <c r="L93" s="80">
        <f t="shared" si="43"/>
        <v>3166.25168768113</v>
      </c>
      <c r="M93" s="80">
        <f t="shared" si="43"/>
        <v>3234.80101993184</v>
      </c>
      <c r="N93" s="80">
        <f t="shared" si="43"/>
        <v>3125.68167471643</v>
      </c>
      <c r="O93" s="80">
        <f t="shared" si="43"/>
        <v>3032.14681034333</v>
      </c>
      <c r="P93" s="80">
        <f t="shared" si="43"/>
        <v>3159.7325062875</v>
      </c>
      <c r="Q93" s="80">
        <f t="shared" si="43"/>
        <v>3678.52504448855</v>
      </c>
      <c r="R93" s="80">
        <f t="shared" si="43"/>
        <v>3298.81770245821</v>
      </c>
      <c r="S93" s="80">
        <f t="shared" si="43"/>
        <v>2994.37472930722</v>
      </c>
      <c r="T93" s="80">
        <f t="shared" si="43"/>
        <v>2689.37216977052</v>
      </c>
      <c r="U93" s="80">
        <f t="shared" si="43"/>
        <v>4420.28477807974</v>
      </c>
      <c r="V93" s="80">
        <f t="shared" si="43"/>
        <v>3062.86810291936</v>
      </c>
      <c r="W93" s="80">
        <f t="shared" si="43"/>
        <v>3202.26107160222</v>
      </c>
      <c r="X93" s="80">
        <f t="shared" si="43"/>
        <v>3406.9857508179</v>
      </c>
      <c r="Y93" s="80">
        <f t="shared" si="43"/>
        <v>2805.738158681</v>
      </c>
      <c r="Z93" s="80">
        <f t="shared" si="43"/>
        <v>2747.3732986504</v>
      </c>
      <c r="AA93" s="80">
        <f t="shared" si="43"/>
        <v>2846.95169598928</v>
      </c>
      <c r="AB93" s="80">
        <f t="shared" si="43"/>
        <v>3246.52435471267</v>
      </c>
      <c r="AC93" s="80">
        <f t="shared" si="43"/>
        <v>3877.56992188916</v>
      </c>
      <c r="AD93" s="80">
        <f t="shared" si="43"/>
        <v>3270.83838317221</v>
      </c>
      <c r="AE93" s="80">
        <f t="shared" si="43"/>
        <v>2933.43577190231</v>
      </c>
      <c r="AF93" s="80">
        <f t="shared" si="43"/>
        <v>2973.08246733058</v>
      </c>
      <c r="AG93" s="80">
        <f t="shared" si="43"/>
        <v>2755.7670944362</v>
      </c>
      <c r="AH93" s="80">
        <f t="shared" si="43"/>
        <v>2766.09146325273</v>
      </c>
      <c r="AI93" s="80">
        <f t="shared" si="43"/>
        <v>3257.80002038493</v>
      </c>
      <c r="AJ93" s="80">
        <f t="shared" si="43"/>
        <v>3368.45822816107</v>
      </c>
      <c r="AK93" s="80">
        <f t="shared" si="43"/>
        <v>3094.98836145969</v>
      </c>
    </row>
    <row r="94" customHeight="1" spans="1:48">
      <c r="A94" s="78" t="s">
        <v>45</v>
      </c>
      <c r="B94" s="78">
        <f>B93*$B$16</f>
        <v>98000</v>
      </c>
      <c r="C94" s="82"/>
      <c r="D94" s="83"/>
      <c r="E94" s="86" t="s">
        <v>44</v>
      </c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48"/>
    </row>
    <row r="95" customHeight="1" spans="1:48">
      <c r="A95" s="78" t="s">
        <v>46</v>
      </c>
      <c r="B95" s="87">
        <f>B94/B92</f>
        <v>0.159090909090909</v>
      </c>
      <c r="C95" s="82"/>
      <c r="D95" s="83"/>
      <c r="E95" s="79" t="s">
        <v>85</v>
      </c>
      <c r="F95" s="88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  <c r="AE95" s="89"/>
      <c r="AF95" s="89"/>
      <c r="AG95" s="89"/>
      <c r="AH95" s="89"/>
      <c r="AI95" s="89"/>
      <c r="AJ95" s="89"/>
      <c r="AK95" s="40"/>
    </row>
    <row r="96" customHeight="1" spans="1:48">
      <c r="A96" s="78"/>
      <c r="B96" s="87"/>
      <c r="C96" s="82"/>
      <c r="D96" s="83"/>
      <c r="E96" s="79" t="s">
        <v>86</v>
      </c>
      <c r="F96" s="88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G96" s="89"/>
      <c r="AH96" s="89"/>
      <c r="AI96" s="89"/>
      <c r="AJ96" s="89"/>
      <c r="AK96" s="40"/>
    </row>
    <row r="97" ht="19.5" customHeight="1" spans="1:48">
      <c r="A97" s="78"/>
      <c r="B97" s="78"/>
      <c r="C97" s="82"/>
      <c r="D97" s="83"/>
      <c r="E97" s="79" t="s">
        <v>43</v>
      </c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  <c r="AA97" s="90"/>
      <c r="AB97" s="90"/>
      <c r="AC97" s="90"/>
      <c r="AD97" s="90"/>
      <c r="AE97" s="90"/>
      <c r="AF97" s="90"/>
      <c r="AG97" s="90"/>
      <c r="AH97" s="90"/>
      <c r="AI97" s="90"/>
      <c r="AJ97" s="90"/>
      <c r="AK97" s="48"/>
    </row>
    <row r="98" s="5" customFormat="1" customHeight="1" spans="1:48">
      <c r="A98" s="87"/>
      <c r="B98" s="87"/>
      <c r="C98" s="91"/>
      <c r="D98" s="92"/>
      <c r="E98" s="93" t="s">
        <v>47</v>
      </c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4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</row>
    <row r="99" customHeight="1" spans="1:48">
      <c r="A99" s="77" t="s">
        <v>80</v>
      </c>
      <c r="B99" s="78">
        <v>464</v>
      </c>
      <c r="C99" s="82"/>
      <c r="D99" s="79" t="s">
        <v>90</v>
      </c>
      <c r="E99" s="79" t="s">
        <v>82</v>
      </c>
      <c r="F99" s="80">
        <f>SUM(G99:AK99)</f>
        <v>724.137931034483</v>
      </c>
      <c r="G99" s="80">
        <f t="shared" ref="G99:AK99" si="44">G100/$B99</f>
        <v>23.419517217338</v>
      </c>
      <c r="H99" s="80">
        <f t="shared" si="44"/>
        <v>22.4815208754617</v>
      </c>
      <c r="I99" s="80">
        <f t="shared" si="44"/>
        <v>23.718055175828</v>
      </c>
      <c r="J99" s="80">
        <f t="shared" si="44"/>
        <v>23.556381572269</v>
      </c>
      <c r="K99" s="80">
        <f t="shared" si="44"/>
        <v>21.9718975598952</v>
      </c>
      <c r="L99" s="80">
        <f t="shared" si="44"/>
        <v>23.3959484311414</v>
      </c>
      <c r="M99" s="80">
        <f t="shared" si="44"/>
        <v>23.9024705906293</v>
      </c>
      <c r="N99" s="80">
        <f t="shared" si="44"/>
        <v>23.0961700102199</v>
      </c>
      <c r="O99" s="80">
        <f t="shared" si="44"/>
        <v>22.4050256921921</v>
      </c>
      <c r="P99" s="80">
        <f t="shared" si="44"/>
        <v>23.3477771400554</v>
      </c>
      <c r="Q99" s="80">
        <f t="shared" si="44"/>
        <v>27.1812195405558</v>
      </c>
      <c r="R99" s="80">
        <f t="shared" si="44"/>
        <v>24.3755002644695</v>
      </c>
      <c r="S99" s="80">
        <f t="shared" si="44"/>
        <v>22.1259216451273</v>
      </c>
      <c r="T99" s="80">
        <f t="shared" si="44"/>
        <v>19.8722081510137</v>
      </c>
      <c r="U99" s="80">
        <f t="shared" si="44"/>
        <v>32.6622027936927</v>
      </c>
      <c r="V99" s="80">
        <f t="shared" si="44"/>
        <v>22.6320303171381</v>
      </c>
      <c r="W99" s="80">
        <f t="shared" si="44"/>
        <v>23.6620276226765</v>
      </c>
      <c r="X99" s="80">
        <f t="shared" si="44"/>
        <v>25.1747715577677</v>
      </c>
      <c r="Y99" s="80">
        <f t="shared" si="44"/>
        <v>20.7320553597118</v>
      </c>
      <c r="Z99" s="80">
        <f t="shared" si="44"/>
        <v>20.3007879210621</v>
      </c>
      <c r="AA99" s="80">
        <f t="shared" si="44"/>
        <v>21.0365888866203</v>
      </c>
      <c r="AB99" s="80">
        <f t="shared" si="44"/>
        <v>23.9890962170887</v>
      </c>
      <c r="AC99" s="80">
        <f t="shared" si="44"/>
        <v>28.651994496718</v>
      </c>
      <c r="AD99" s="80">
        <f t="shared" si="44"/>
        <v>24.168756525903</v>
      </c>
      <c r="AE99" s="80">
        <f t="shared" si="44"/>
        <v>21.6756337825294</v>
      </c>
      <c r="AF99" s="80">
        <f t="shared" si="44"/>
        <v>21.9685896600781</v>
      </c>
      <c r="AG99" s="80">
        <f t="shared" si="44"/>
        <v>20.362811042632</v>
      </c>
      <c r="AH99" s="80">
        <f t="shared" si="44"/>
        <v>20.4390994821631</v>
      </c>
      <c r="AI99" s="80">
        <f t="shared" si="44"/>
        <v>24.072413943731</v>
      </c>
      <c r="AJ99" s="80">
        <f t="shared" si="44"/>
        <v>24.8900854297616</v>
      </c>
      <c r="AK99" s="80">
        <f t="shared" si="44"/>
        <v>22.8693721290125</v>
      </c>
    </row>
    <row r="100" customHeight="1" spans="1:48">
      <c r="A100" s="81" t="s">
        <v>83</v>
      </c>
      <c r="B100" s="81">
        <v>0.12</v>
      </c>
      <c r="C100" s="82"/>
      <c r="D100" s="83"/>
      <c r="E100" s="79" t="s">
        <v>41</v>
      </c>
      <c r="F100" s="80">
        <f>SUM(G100:AK100)</f>
        <v>336000</v>
      </c>
      <c r="G100" s="80">
        <f t="shared" ref="G100:AK100" si="45">$B101*G$9</f>
        <v>10866.6559888448</v>
      </c>
      <c r="H100" s="80">
        <f t="shared" si="45"/>
        <v>10431.4256862142</v>
      </c>
      <c r="I100" s="80">
        <f t="shared" si="45"/>
        <v>11005.1776015842</v>
      </c>
      <c r="J100" s="80">
        <f t="shared" si="45"/>
        <v>10930.1610495328</v>
      </c>
      <c r="K100" s="80">
        <f t="shared" si="45"/>
        <v>10194.9604677914</v>
      </c>
      <c r="L100" s="80">
        <f t="shared" si="45"/>
        <v>10855.7200720496</v>
      </c>
      <c r="M100" s="80">
        <f t="shared" si="45"/>
        <v>11090.746354052</v>
      </c>
      <c r="N100" s="80">
        <f t="shared" si="45"/>
        <v>10716.622884742</v>
      </c>
      <c r="O100" s="80">
        <f t="shared" si="45"/>
        <v>10395.9319211771</v>
      </c>
      <c r="P100" s="80">
        <f t="shared" si="45"/>
        <v>10833.3685929857</v>
      </c>
      <c r="Q100" s="80">
        <f t="shared" si="45"/>
        <v>12612.0858668179</v>
      </c>
      <c r="R100" s="80">
        <f t="shared" si="45"/>
        <v>11310.2321227139</v>
      </c>
      <c r="S100" s="80">
        <f t="shared" si="45"/>
        <v>10266.4276433391</v>
      </c>
      <c r="T100" s="80">
        <f t="shared" si="45"/>
        <v>9220.70458207034</v>
      </c>
      <c r="U100" s="80">
        <f t="shared" si="45"/>
        <v>15155.2620962734</v>
      </c>
      <c r="V100" s="80">
        <f t="shared" si="45"/>
        <v>10501.2620671521</v>
      </c>
      <c r="W100" s="80">
        <f t="shared" si="45"/>
        <v>10979.1808169219</v>
      </c>
      <c r="X100" s="80">
        <f t="shared" si="45"/>
        <v>11681.0940028042</v>
      </c>
      <c r="Y100" s="80">
        <f t="shared" si="45"/>
        <v>9619.67368690628</v>
      </c>
      <c r="Z100" s="80">
        <f t="shared" si="45"/>
        <v>9419.56559537279</v>
      </c>
      <c r="AA100" s="80">
        <f t="shared" si="45"/>
        <v>9760.97724339181</v>
      </c>
      <c r="AB100" s="80">
        <f t="shared" si="45"/>
        <v>11130.9406447292</v>
      </c>
      <c r="AC100" s="80">
        <f t="shared" si="45"/>
        <v>13294.5254464771</v>
      </c>
      <c r="AD100" s="80">
        <f t="shared" si="45"/>
        <v>11214.303028019</v>
      </c>
      <c r="AE100" s="80">
        <f t="shared" si="45"/>
        <v>10057.4940750936</v>
      </c>
      <c r="AF100" s="80">
        <f t="shared" si="45"/>
        <v>10193.4256022763</v>
      </c>
      <c r="AG100" s="80">
        <f t="shared" si="45"/>
        <v>9448.34432378125</v>
      </c>
      <c r="AH100" s="80">
        <f t="shared" si="45"/>
        <v>9483.74215972366</v>
      </c>
      <c r="AI100" s="80">
        <f t="shared" si="45"/>
        <v>11169.6000698912</v>
      </c>
      <c r="AJ100" s="80">
        <f t="shared" si="45"/>
        <v>11548.9996394094</v>
      </c>
      <c r="AK100" s="80">
        <f t="shared" si="45"/>
        <v>10611.3886678618</v>
      </c>
    </row>
    <row r="101" customHeight="1" spans="1:48">
      <c r="A101" s="78" t="s">
        <v>41</v>
      </c>
      <c r="B101" s="78">
        <f>B100*$E$12</f>
        <v>336000</v>
      </c>
      <c r="C101" s="82"/>
      <c r="D101" s="83"/>
      <c r="E101" s="79" t="s">
        <v>46</v>
      </c>
      <c r="F101" s="84">
        <f t="shared" ref="F101:AK101" si="46">F102/F100</f>
        <v>0.0583333333333333</v>
      </c>
      <c r="G101" s="84">
        <f t="shared" si="46"/>
        <v>0.0583333333333333</v>
      </c>
      <c r="H101" s="84">
        <f t="shared" si="46"/>
        <v>0.0583333333333333</v>
      </c>
      <c r="I101" s="84">
        <f t="shared" si="46"/>
        <v>0.0583333333333333</v>
      </c>
      <c r="J101" s="84">
        <f t="shared" si="46"/>
        <v>0.0583333333333333</v>
      </c>
      <c r="K101" s="84">
        <f t="shared" si="46"/>
        <v>0.0583333333333333</v>
      </c>
      <c r="L101" s="84">
        <f t="shared" si="46"/>
        <v>0.0583333333333333</v>
      </c>
      <c r="M101" s="84">
        <f t="shared" si="46"/>
        <v>0.0583333333333333</v>
      </c>
      <c r="N101" s="84">
        <f t="shared" si="46"/>
        <v>0.0583333333333333</v>
      </c>
      <c r="O101" s="84">
        <f t="shared" si="46"/>
        <v>0.0583333333333333</v>
      </c>
      <c r="P101" s="84">
        <f t="shared" si="46"/>
        <v>0.0583333333333333</v>
      </c>
      <c r="Q101" s="84">
        <f t="shared" si="46"/>
        <v>0.0583333333333333</v>
      </c>
      <c r="R101" s="84">
        <f t="shared" si="46"/>
        <v>0.0583333333333333</v>
      </c>
      <c r="S101" s="84">
        <f t="shared" si="46"/>
        <v>0.0583333333333333</v>
      </c>
      <c r="T101" s="84">
        <f t="shared" si="46"/>
        <v>0.0583333333333333</v>
      </c>
      <c r="U101" s="84">
        <f t="shared" si="46"/>
        <v>0.0583333333333333</v>
      </c>
      <c r="V101" s="84">
        <f t="shared" si="46"/>
        <v>0.0583333333333333</v>
      </c>
      <c r="W101" s="84">
        <f t="shared" si="46"/>
        <v>0.0583333333333333</v>
      </c>
      <c r="X101" s="84">
        <f t="shared" si="46"/>
        <v>0.0583333333333333</v>
      </c>
      <c r="Y101" s="84">
        <f t="shared" si="46"/>
        <v>0.0583333333333333</v>
      </c>
      <c r="Z101" s="84">
        <f t="shared" si="46"/>
        <v>0.0583333333333333</v>
      </c>
      <c r="AA101" s="84">
        <f t="shared" si="46"/>
        <v>0.0583333333333333</v>
      </c>
      <c r="AB101" s="84">
        <f t="shared" si="46"/>
        <v>0.0583333333333334</v>
      </c>
      <c r="AC101" s="84">
        <f t="shared" si="46"/>
        <v>0.0583333333333333</v>
      </c>
      <c r="AD101" s="84">
        <f t="shared" si="46"/>
        <v>0.0583333333333333</v>
      </c>
      <c r="AE101" s="84">
        <f t="shared" si="46"/>
        <v>0.0583333333333333</v>
      </c>
      <c r="AF101" s="84">
        <f t="shared" si="46"/>
        <v>0.0583333333333333</v>
      </c>
      <c r="AG101" s="84">
        <f t="shared" si="46"/>
        <v>0.0583333333333333</v>
      </c>
      <c r="AH101" s="84">
        <f t="shared" si="46"/>
        <v>0.0583333333333333</v>
      </c>
      <c r="AI101" s="84">
        <f t="shared" si="46"/>
        <v>0.0583333333333333</v>
      </c>
      <c r="AJ101" s="84">
        <f t="shared" si="46"/>
        <v>0.0583333333333333</v>
      </c>
      <c r="AK101" s="84">
        <f t="shared" si="46"/>
        <v>0.0583333333333333</v>
      </c>
    </row>
    <row r="102" customHeight="1" spans="1:48">
      <c r="A102" s="85" t="s">
        <v>84</v>
      </c>
      <c r="B102" s="81">
        <v>0.07</v>
      </c>
      <c r="C102" s="82"/>
      <c r="D102" s="83"/>
      <c r="E102" s="86" t="s">
        <v>45</v>
      </c>
      <c r="F102" s="80">
        <f>SUM(G102:AK102)</f>
        <v>19600</v>
      </c>
      <c r="G102" s="80">
        <f t="shared" ref="G102:AK102" si="47">$B103*G$9</f>
        <v>633.888266015948</v>
      </c>
      <c r="H102" s="80">
        <f t="shared" si="47"/>
        <v>608.49983169583</v>
      </c>
      <c r="I102" s="80">
        <f t="shared" si="47"/>
        <v>641.968693425745</v>
      </c>
      <c r="J102" s="80">
        <f t="shared" si="47"/>
        <v>637.592727889415</v>
      </c>
      <c r="K102" s="80">
        <f t="shared" si="47"/>
        <v>594.70602728783</v>
      </c>
      <c r="L102" s="80">
        <f t="shared" si="47"/>
        <v>633.250337536227</v>
      </c>
      <c r="M102" s="80">
        <f t="shared" si="47"/>
        <v>646.960203986368</v>
      </c>
      <c r="N102" s="80">
        <f t="shared" si="47"/>
        <v>625.136334943286</v>
      </c>
      <c r="O102" s="80">
        <f t="shared" si="47"/>
        <v>606.429362068665</v>
      </c>
      <c r="P102" s="80">
        <f t="shared" si="47"/>
        <v>631.946501257499</v>
      </c>
      <c r="Q102" s="80">
        <f t="shared" si="47"/>
        <v>735.705008897709</v>
      </c>
      <c r="R102" s="80">
        <f t="shared" si="47"/>
        <v>659.763540491642</v>
      </c>
      <c r="S102" s="80">
        <f t="shared" si="47"/>
        <v>598.874945861445</v>
      </c>
      <c r="T102" s="80">
        <f t="shared" si="47"/>
        <v>537.874433954103</v>
      </c>
      <c r="U102" s="80">
        <f t="shared" si="47"/>
        <v>884.056955615949</v>
      </c>
      <c r="V102" s="80">
        <f t="shared" si="47"/>
        <v>612.573620583872</v>
      </c>
      <c r="W102" s="80">
        <f t="shared" si="47"/>
        <v>640.452214320444</v>
      </c>
      <c r="X102" s="80">
        <f t="shared" si="47"/>
        <v>681.397150163579</v>
      </c>
      <c r="Y102" s="80">
        <f t="shared" si="47"/>
        <v>561.1476317362</v>
      </c>
      <c r="Z102" s="80">
        <f t="shared" si="47"/>
        <v>549.47465973008</v>
      </c>
      <c r="AA102" s="80">
        <f t="shared" si="47"/>
        <v>569.390339197856</v>
      </c>
      <c r="AB102" s="80">
        <f t="shared" si="47"/>
        <v>649.304870942535</v>
      </c>
      <c r="AC102" s="80">
        <f t="shared" si="47"/>
        <v>775.513984377833</v>
      </c>
      <c r="AD102" s="80">
        <f t="shared" si="47"/>
        <v>654.167676634442</v>
      </c>
      <c r="AE102" s="80">
        <f t="shared" si="47"/>
        <v>586.687154380462</v>
      </c>
      <c r="AF102" s="80">
        <f t="shared" si="47"/>
        <v>594.616493466115</v>
      </c>
      <c r="AG102" s="80">
        <f t="shared" si="47"/>
        <v>551.15341888724</v>
      </c>
      <c r="AH102" s="80">
        <f t="shared" si="47"/>
        <v>553.218292650547</v>
      </c>
      <c r="AI102" s="80">
        <f t="shared" si="47"/>
        <v>651.560004076987</v>
      </c>
      <c r="AJ102" s="80">
        <f t="shared" si="47"/>
        <v>673.691645632214</v>
      </c>
      <c r="AK102" s="80">
        <f t="shared" si="47"/>
        <v>618.997672291937</v>
      </c>
    </row>
    <row r="103" customHeight="1" spans="1:48">
      <c r="A103" s="78" t="s">
        <v>45</v>
      </c>
      <c r="B103" s="78">
        <f>B102*$B$16</f>
        <v>19600</v>
      </c>
      <c r="C103" s="82"/>
      <c r="D103" s="83"/>
      <c r="E103" s="86" t="s">
        <v>44</v>
      </c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48"/>
    </row>
    <row r="104" customHeight="1" spans="1:48">
      <c r="A104" s="78" t="s">
        <v>46</v>
      </c>
      <c r="B104" s="87">
        <f>B103/B101</f>
        <v>0.0583333333333333</v>
      </c>
      <c r="C104" s="82"/>
      <c r="D104" s="83"/>
      <c r="E104" s="79" t="s">
        <v>85</v>
      </c>
      <c r="F104" s="88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89"/>
      <c r="AJ104" s="89"/>
      <c r="AK104" s="40"/>
    </row>
    <row r="105" customHeight="1" spans="1:48">
      <c r="A105" s="78"/>
      <c r="B105" s="87"/>
      <c r="C105" s="82"/>
      <c r="D105" s="83"/>
      <c r="E105" s="79" t="s">
        <v>86</v>
      </c>
      <c r="F105" s="88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89"/>
      <c r="AI105" s="89"/>
      <c r="AJ105" s="89"/>
      <c r="AK105" s="40"/>
    </row>
    <row r="106" ht="19.5" customHeight="1" spans="1:48">
      <c r="A106" s="78"/>
      <c r="B106" s="78"/>
      <c r="C106" s="82"/>
      <c r="D106" s="83"/>
      <c r="E106" s="79" t="s">
        <v>43</v>
      </c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  <c r="AJ106" s="90"/>
      <c r="AK106" s="48"/>
    </row>
    <row r="107" s="5" customFormat="1" customHeight="1" spans="1:48">
      <c r="A107" s="87"/>
      <c r="B107" s="87"/>
      <c r="C107" s="91"/>
      <c r="D107" s="92"/>
      <c r="E107" s="93" t="s">
        <v>47</v>
      </c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90"/>
      <c r="AB107" s="90"/>
      <c r="AC107" s="90"/>
      <c r="AD107" s="90"/>
      <c r="AE107" s="90"/>
      <c r="AF107" s="90"/>
      <c r="AG107" s="90"/>
      <c r="AH107" s="90"/>
      <c r="AI107" s="90"/>
      <c r="AJ107" s="90"/>
      <c r="AK107" s="4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</row>
    <row r="108" customHeight="1" spans="1:48">
      <c r="A108" s="77" t="s">
        <v>80</v>
      </c>
      <c r="B108" s="78">
        <v>364</v>
      </c>
      <c r="C108" s="82"/>
      <c r="D108" s="79" t="s">
        <v>91</v>
      </c>
      <c r="E108" s="79" t="s">
        <v>82</v>
      </c>
      <c r="F108" s="80">
        <f>SUM(G108:AK108)</f>
        <v>1230.76923076923</v>
      </c>
      <c r="G108" s="80">
        <f t="shared" ref="G108:AK108" si="48">G109/$B108</f>
        <v>39.8046006917393</v>
      </c>
      <c r="H108" s="80">
        <f t="shared" si="48"/>
        <v>38.2103504989532</v>
      </c>
      <c r="I108" s="80">
        <f t="shared" si="48"/>
        <v>40.3120058666088</v>
      </c>
      <c r="J108" s="80">
        <f t="shared" si="48"/>
        <v>40.0372199616587</v>
      </c>
      <c r="K108" s="80">
        <f t="shared" si="48"/>
        <v>37.3441775376974</v>
      </c>
      <c r="L108" s="80">
        <f t="shared" si="48"/>
        <v>39.7645423884601</v>
      </c>
      <c r="M108" s="80">
        <f t="shared" si="48"/>
        <v>40.6254445203371</v>
      </c>
      <c r="N108" s="80">
        <f t="shared" si="48"/>
        <v>39.255028881839</v>
      </c>
      <c r="O108" s="80">
        <f t="shared" si="48"/>
        <v>38.0803367076085</v>
      </c>
      <c r="P108" s="80">
        <f t="shared" si="48"/>
        <v>39.6826688387755</v>
      </c>
      <c r="Q108" s="80">
        <f t="shared" si="48"/>
        <v>46.1981167282706</v>
      </c>
      <c r="R108" s="80">
        <f t="shared" si="48"/>
        <v>41.4294216949226</v>
      </c>
      <c r="S108" s="80">
        <f t="shared" si="48"/>
        <v>37.605962063513</v>
      </c>
      <c r="T108" s="80">
        <f t="shared" si="48"/>
        <v>33.7754746595983</v>
      </c>
      <c r="U108" s="80">
        <f t="shared" si="48"/>
        <v>55.5137805724301</v>
      </c>
      <c r="V108" s="80">
        <f t="shared" si="48"/>
        <v>38.4661614181395</v>
      </c>
      <c r="W108" s="80">
        <f t="shared" si="48"/>
        <v>40.2167795491644</v>
      </c>
      <c r="X108" s="80">
        <f t="shared" si="48"/>
        <v>42.7878901201619</v>
      </c>
      <c r="Y108" s="80">
        <f t="shared" si="48"/>
        <v>35.2368999520376</v>
      </c>
      <c r="Z108" s="80">
        <f t="shared" si="48"/>
        <v>34.5039032797538</v>
      </c>
      <c r="AA108" s="80">
        <f t="shared" si="48"/>
        <v>35.7544953970396</v>
      </c>
      <c r="AB108" s="80">
        <f t="shared" si="48"/>
        <v>40.7726763543193</v>
      </c>
      <c r="AC108" s="80">
        <f t="shared" si="48"/>
        <v>48.6978954083411</v>
      </c>
      <c r="AD108" s="80">
        <f t="shared" si="48"/>
        <v>41.0780330696667</v>
      </c>
      <c r="AE108" s="80">
        <f t="shared" si="48"/>
        <v>36.8406376377056</v>
      </c>
      <c r="AF108" s="80">
        <f t="shared" si="48"/>
        <v>37.3385553196933</v>
      </c>
      <c r="AG108" s="80">
        <f t="shared" si="48"/>
        <v>34.6093198673306</v>
      </c>
      <c r="AH108" s="80">
        <f t="shared" si="48"/>
        <v>34.73898227005</v>
      </c>
      <c r="AI108" s="80">
        <f t="shared" si="48"/>
        <v>40.9142859702974</v>
      </c>
      <c r="AJ108" s="80">
        <f t="shared" si="48"/>
        <v>42.3040279831846</v>
      </c>
      <c r="AK108" s="80">
        <f t="shared" si="48"/>
        <v>38.8695555599333</v>
      </c>
    </row>
    <row r="109" customHeight="1" spans="1:48">
      <c r="A109" s="81" t="s">
        <v>83</v>
      </c>
      <c r="B109" s="81">
        <v>0.16</v>
      </c>
      <c r="C109" s="82"/>
      <c r="D109" s="83"/>
      <c r="E109" s="79" t="s">
        <v>41</v>
      </c>
      <c r="F109" s="80">
        <f>SUM(G109:AK109)</f>
        <v>448000</v>
      </c>
      <c r="G109" s="80">
        <f t="shared" ref="G109:AK109" si="49">$B110*G$9</f>
        <v>14488.8746517931</v>
      </c>
      <c r="H109" s="80">
        <f t="shared" si="49"/>
        <v>13908.567581619</v>
      </c>
      <c r="I109" s="80">
        <f t="shared" si="49"/>
        <v>14673.5701354456</v>
      </c>
      <c r="J109" s="80">
        <f t="shared" si="49"/>
        <v>14573.5480660438</v>
      </c>
      <c r="K109" s="80">
        <f t="shared" si="49"/>
        <v>13593.2806237218</v>
      </c>
      <c r="L109" s="80">
        <f t="shared" si="49"/>
        <v>14474.2934293995</v>
      </c>
      <c r="M109" s="80">
        <f t="shared" si="49"/>
        <v>14787.6618054027</v>
      </c>
      <c r="N109" s="80">
        <f t="shared" si="49"/>
        <v>14288.8305129894</v>
      </c>
      <c r="O109" s="80">
        <f t="shared" si="49"/>
        <v>13861.2425615695</v>
      </c>
      <c r="P109" s="80">
        <f t="shared" si="49"/>
        <v>14444.4914573143</v>
      </c>
      <c r="Q109" s="80">
        <f t="shared" si="49"/>
        <v>16816.1144890905</v>
      </c>
      <c r="R109" s="80">
        <f t="shared" si="49"/>
        <v>15080.3094969518</v>
      </c>
      <c r="S109" s="80">
        <f t="shared" si="49"/>
        <v>13688.5701911187</v>
      </c>
      <c r="T109" s="80">
        <f t="shared" si="49"/>
        <v>12294.2727760938</v>
      </c>
      <c r="U109" s="80">
        <f t="shared" si="49"/>
        <v>20207.0161283645</v>
      </c>
      <c r="V109" s="80">
        <f t="shared" si="49"/>
        <v>14001.6827562028</v>
      </c>
      <c r="W109" s="80">
        <f t="shared" si="49"/>
        <v>14638.9077558959</v>
      </c>
      <c r="X109" s="80">
        <f t="shared" si="49"/>
        <v>15574.7920037389</v>
      </c>
      <c r="Y109" s="80">
        <f t="shared" si="49"/>
        <v>12826.2315825417</v>
      </c>
      <c r="Z109" s="80">
        <f t="shared" si="49"/>
        <v>12559.4207938304</v>
      </c>
      <c r="AA109" s="80">
        <f t="shared" si="49"/>
        <v>13014.6363245224</v>
      </c>
      <c r="AB109" s="80">
        <f t="shared" si="49"/>
        <v>14841.2541929722</v>
      </c>
      <c r="AC109" s="80">
        <f t="shared" si="49"/>
        <v>17726.0339286362</v>
      </c>
      <c r="AD109" s="80">
        <f t="shared" si="49"/>
        <v>14952.4040373587</v>
      </c>
      <c r="AE109" s="80">
        <f t="shared" si="49"/>
        <v>13409.9921001248</v>
      </c>
      <c r="AF109" s="80">
        <f t="shared" si="49"/>
        <v>13591.2341363683</v>
      </c>
      <c r="AG109" s="80">
        <f t="shared" si="49"/>
        <v>12597.7924317083</v>
      </c>
      <c r="AH109" s="80">
        <f t="shared" si="49"/>
        <v>12644.9895462982</v>
      </c>
      <c r="AI109" s="80">
        <f t="shared" si="49"/>
        <v>14892.8000931883</v>
      </c>
      <c r="AJ109" s="80">
        <f t="shared" si="49"/>
        <v>15398.6661858792</v>
      </c>
      <c r="AK109" s="80">
        <f t="shared" si="49"/>
        <v>14148.5182238157</v>
      </c>
    </row>
    <row r="110" customHeight="1" spans="1:48">
      <c r="A110" s="78" t="s">
        <v>41</v>
      </c>
      <c r="B110" s="78">
        <f>B109*$E$12</f>
        <v>448000</v>
      </c>
      <c r="C110" s="82"/>
      <c r="D110" s="83"/>
      <c r="E110" s="79" t="s">
        <v>46</v>
      </c>
      <c r="F110" s="84">
        <f t="shared" ref="F110:AK110" si="50">F111/F109</f>
        <v>0.06875</v>
      </c>
      <c r="G110" s="84">
        <f t="shared" si="50"/>
        <v>0.06875</v>
      </c>
      <c r="H110" s="84">
        <f t="shared" si="50"/>
        <v>0.06875</v>
      </c>
      <c r="I110" s="84">
        <f t="shared" si="50"/>
        <v>0.06875</v>
      </c>
      <c r="J110" s="84">
        <f t="shared" si="50"/>
        <v>0.06875</v>
      </c>
      <c r="K110" s="84">
        <f t="shared" si="50"/>
        <v>0.06875</v>
      </c>
      <c r="L110" s="84">
        <f t="shared" si="50"/>
        <v>0.06875</v>
      </c>
      <c r="M110" s="84">
        <f t="shared" si="50"/>
        <v>0.06875</v>
      </c>
      <c r="N110" s="84">
        <f t="shared" si="50"/>
        <v>0.06875</v>
      </c>
      <c r="O110" s="84">
        <f t="shared" si="50"/>
        <v>0.06875</v>
      </c>
      <c r="P110" s="84">
        <f t="shared" si="50"/>
        <v>0.06875</v>
      </c>
      <c r="Q110" s="84">
        <f t="shared" si="50"/>
        <v>0.06875</v>
      </c>
      <c r="R110" s="84">
        <f t="shared" si="50"/>
        <v>0.06875</v>
      </c>
      <c r="S110" s="84">
        <f t="shared" si="50"/>
        <v>0.06875</v>
      </c>
      <c r="T110" s="84">
        <f t="shared" si="50"/>
        <v>0.06875</v>
      </c>
      <c r="U110" s="84">
        <f t="shared" si="50"/>
        <v>0.06875</v>
      </c>
      <c r="V110" s="84">
        <f t="shared" si="50"/>
        <v>0.06875</v>
      </c>
      <c r="W110" s="84">
        <f t="shared" si="50"/>
        <v>0.06875</v>
      </c>
      <c r="X110" s="84">
        <f t="shared" si="50"/>
        <v>0.06875</v>
      </c>
      <c r="Y110" s="84">
        <f t="shared" si="50"/>
        <v>0.06875</v>
      </c>
      <c r="Z110" s="84">
        <f t="shared" si="50"/>
        <v>0.06875</v>
      </c>
      <c r="AA110" s="84">
        <f t="shared" si="50"/>
        <v>0.06875</v>
      </c>
      <c r="AB110" s="84">
        <f t="shared" si="50"/>
        <v>0.06875</v>
      </c>
      <c r="AC110" s="84">
        <f t="shared" si="50"/>
        <v>0.06875</v>
      </c>
      <c r="AD110" s="84">
        <f t="shared" si="50"/>
        <v>0.06875</v>
      </c>
      <c r="AE110" s="84">
        <f t="shared" si="50"/>
        <v>0.06875</v>
      </c>
      <c r="AF110" s="84">
        <f t="shared" si="50"/>
        <v>0.06875</v>
      </c>
      <c r="AG110" s="84">
        <f t="shared" si="50"/>
        <v>0.06875</v>
      </c>
      <c r="AH110" s="84">
        <f t="shared" si="50"/>
        <v>0.06875</v>
      </c>
      <c r="AI110" s="84">
        <f t="shared" si="50"/>
        <v>0.06875</v>
      </c>
      <c r="AJ110" s="84">
        <f t="shared" si="50"/>
        <v>0.06875</v>
      </c>
      <c r="AK110" s="84">
        <f t="shared" si="50"/>
        <v>0.06875</v>
      </c>
    </row>
    <row r="111" customHeight="1" spans="1:48">
      <c r="A111" s="85" t="s">
        <v>84</v>
      </c>
      <c r="B111" s="81">
        <v>0.11</v>
      </c>
      <c r="C111" s="82"/>
      <c r="D111" s="83"/>
      <c r="E111" s="86" t="s">
        <v>45</v>
      </c>
      <c r="F111" s="80">
        <f>SUM(G111:AK111)</f>
        <v>30800</v>
      </c>
      <c r="G111" s="80">
        <f t="shared" ref="G111:AK111" si="51">$B112*G$9</f>
        <v>996.110132310775</v>
      </c>
      <c r="H111" s="80">
        <f t="shared" si="51"/>
        <v>956.214021236303</v>
      </c>
      <c r="I111" s="80">
        <f t="shared" si="51"/>
        <v>1008.80794681189</v>
      </c>
      <c r="J111" s="80">
        <f t="shared" si="51"/>
        <v>1001.93142954051</v>
      </c>
      <c r="K111" s="80">
        <f t="shared" si="51"/>
        <v>934.538042880876</v>
      </c>
      <c r="L111" s="80">
        <f t="shared" si="51"/>
        <v>995.107673271214</v>
      </c>
      <c r="M111" s="80">
        <f t="shared" si="51"/>
        <v>1016.65174912144</v>
      </c>
      <c r="N111" s="80">
        <f t="shared" si="51"/>
        <v>982.357097768021</v>
      </c>
      <c r="O111" s="80">
        <f t="shared" si="51"/>
        <v>952.960426107903</v>
      </c>
      <c r="P111" s="80">
        <f t="shared" si="51"/>
        <v>993.058787690356</v>
      </c>
      <c r="Q111" s="80">
        <f t="shared" si="51"/>
        <v>1156.10787112497</v>
      </c>
      <c r="R111" s="80">
        <f t="shared" si="51"/>
        <v>1036.77127791544</v>
      </c>
      <c r="S111" s="80">
        <f t="shared" si="51"/>
        <v>941.089200639413</v>
      </c>
      <c r="T111" s="80">
        <f t="shared" si="51"/>
        <v>845.231253356448</v>
      </c>
      <c r="U111" s="80">
        <f t="shared" si="51"/>
        <v>1389.23235882506</v>
      </c>
      <c r="V111" s="80">
        <f t="shared" si="51"/>
        <v>962.615689488941</v>
      </c>
      <c r="W111" s="80">
        <f t="shared" si="51"/>
        <v>1006.42490821784</v>
      </c>
      <c r="X111" s="80">
        <f t="shared" si="51"/>
        <v>1070.76695025705</v>
      </c>
      <c r="Y111" s="80">
        <f t="shared" si="51"/>
        <v>881.803421299742</v>
      </c>
      <c r="Z111" s="80">
        <f t="shared" si="51"/>
        <v>863.460179575839</v>
      </c>
      <c r="AA111" s="80">
        <f t="shared" si="51"/>
        <v>894.756247310916</v>
      </c>
      <c r="AB111" s="80">
        <f t="shared" si="51"/>
        <v>1020.33622576684</v>
      </c>
      <c r="AC111" s="80">
        <f t="shared" si="51"/>
        <v>1218.66483259374</v>
      </c>
      <c r="AD111" s="80">
        <f t="shared" si="51"/>
        <v>1027.97777756841</v>
      </c>
      <c r="AE111" s="80">
        <f t="shared" si="51"/>
        <v>921.936956883583</v>
      </c>
      <c r="AF111" s="80">
        <f t="shared" si="51"/>
        <v>934.397346875324</v>
      </c>
      <c r="AG111" s="80">
        <f t="shared" si="51"/>
        <v>866.098229679948</v>
      </c>
      <c r="AH111" s="80">
        <f t="shared" si="51"/>
        <v>869.343031308002</v>
      </c>
      <c r="AI111" s="80">
        <f t="shared" si="51"/>
        <v>1023.88000640669</v>
      </c>
      <c r="AJ111" s="80">
        <f t="shared" si="51"/>
        <v>1058.65830027919</v>
      </c>
      <c r="AK111" s="80">
        <f t="shared" si="51"/>
        <v>972.71062788733</v>
      </c>
    </row>
    <row r="112" customHeight="1" spans="1:48">
      <c r="A112" s="78" t="s">
        <v>45</v>
      </c>
      <c r="B112" s="78">
        <f>B111*$B$16</f>
        <v>30800</v>
      </c>
      <c r="C112" s="82"/>
      <c r="D112" s="83"/>
      <c r="E112" s="86" t="s">
        <v>44</v>
      </c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48"/>
    </row>
    <row r="113" customHeight="1" spans="1:48">
      <c r="A113" s="78" t="s">
        <v>46</v>
      </c>
      <c r="B113" s="87">
        <f>B112/B110</f>
        <v>0.06875</v>
      </c>
      <c r="C113" s="82"/>
      <c r="D113" s="83"/>
      <c r="E113" s="79" t="s">
        <v>85</v>
      </c>
      <c r="F113" s="88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  <c r="AE113" s="89"/>
      <c r="AF113" s="89"/>
      <c r="AG113" s="89"/>
      <c r="AH113" s="89"/>
      <c r="AI113" s="89"/>
      <c r="AJ113" s="89"/>
      <c r="AK113" s="40"/>
    </row>
    <row r="114" customHeight="1" spans="1:48">
      <c r="A114" s="78"/>
      <c r="B114" s="87"/>
      <c r="C114" s="82"/>
      <c r="D114" s="83"/>
      <c r="E114" s="79" t="s">
        <v>86</v>
      </c>
      <c r="F114" s="88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  <c r="AE114" s="89"/>
      <c r="AF114" s="89"/>
      <c r="AG114" s="89"/>
      <c r="AH114" s="89"/>
      <c r="AI114" s="89"/>
      <c r="AJ114" s="89"/>
      <c r="AK114" s="40"/>
    </row>
    <row r="115" ht="19.5" customHeight="1" spans="1:48">
      <c r="A115" s="78"/>
      <c r="B115" s="78"/>
      <c r="C115" s="82"/>
      <c r="D115" s="83"/>
      <c r="E115" s="79" t="s">
        <v>43</v>
      </c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  <c r="AA115" s="90"/>
      <c r="AB115" s="90"/>
      <c r="AC115" s="90"/>
      <c r="AD115" s="90"/>
      <c r="AE115" s="90"/>
      <c r="AF115" s="90"/>
      <c r="AG115" s="90"/>
      <c r="AH115" s="90"/>
      <c r="AI115" s="90"/>
      <c r="AJ115" s="90"/>
      <c r="AK115" s="48"/>
    </row>
    <row r="116" s="5" customFormat="1" customHeight="1" spans="1:48">
      <c r="A116" s="87"/>
      <c r="B116" s="87"/>
      <c r="C116" s="91"/>
      <c r="D116" s="92"/>
      <c r="E116" s="93" t="s">
        <v>47</v>
      </c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  <c r="AA116" s="90"/>
      <c r="AB116" s="90"/>
      <c r="AC116" s="90"/>
      <c r="AD116" s="90"/>
      <c r="AE116" s="90"/>
      <c r="AF116" s="90"/>
      <c r="AG116" s="90"/>
      <c r="AH116" s="90"/>
      <c r="AI116" s="90"/>
      <c r="AJ116" s="90"/>
      <c r="AK116" s="4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</row>
    <row r="117" customHeight="1" spans="1:48">
      <c r="A117" s="77" t="s">
        <v>80</v>
      </c>
      <c r="B117" s="78">
        <v>337</v>
      </c>
      <c r="C117" s="82"/>
      <c r="D117" s="79" t="s">
        <v>92</v>
      </c>
      <c r="E117" s="79" t="s">
        <v>82</v>
      </c>
      <c r="F117" s="80">
        <f>SUM(G117:AK117)</f>
        <v>166.172106824926</v>
      </c>
      <c r="G117" s="80">
        <f t="shared" ref="G117:AK117" si="52">G118/$B117</f>
        <v>5.37421166609536</v>
      </c>
      <c r="H117" s="80">
        <f t="shared" si="52"/>
        <v>5.15896423650555</v>
      </c>
      <c r="I117" s="80">
        <f t="shared" si="52"/>
        <v>5.44271889296944</v>
      </c>
      <c r="J117" s="80">
        <f t="shared" si="52"/>
        <v>5.40561871885896</v>
      </c>
      <c r="K117" s="80">
        <f t="shared" si="52"/>
        <v>5.04201803550513</v>
      </c>
      <c r="L117" s="80">
        <f t="shared" si="52"/>
        <v>5.36880320081583</v>
      </c>
      <c r="M117" s="80">
        <f t="shared" si="52"/>
        <v>5.48503776164788</v>
      </c>
      <c r="N117" s="80">
        <f t="shared" si="52"/>
        <v>5.30001131787441</v>
      </c>
      <c r="O117" s="80">
        <f t="shared" si="52"/>
        <v>5.14141044568601</v>
      </c>
      <c r="P117" s="80">
        <f t="shared" si="52"/>
        <v>5.35774905686731</v>
      </c>
      <c r="Q117" s="80">
        <f t="shared" si="52"/>
        <v>6.23743119031546</v>
      </c>
      <c r="R117" s="80">
        <f t="shared" si="52"/>
        <v>5.59358660866166</v>
      </c>
      <c r="S117" s="80">
        <f t="shared" si="52"/>
        <v>5.07736283053366</v>
      </c>
      <c r="T117" s="80">
        <f t="shared" si="52"/>
        <v>4.56019019884784</v>
      </c>
      <c r="U117" s="80">
        <f t="shared" si="52"/>
        <v>7.49518402387409</v>
      </c>
      <c r="V117" s="80">
        <f t="shared" si="52"/>
        <v>5.19350250600993</v>
      </c>
      <c r="W117" s="80">
        <f t="shared" si="52"/>
        <v>5.42986192726107</v>
      </c>
      <c r="X117" s="80">
        <f t="shared" si="52"/>
        <v>5.77700000138685</v>
      </c>
      <c r="Y117" s="80">
        <f t="shared" si="52"/>
        <v>4.75750429619499</v>
      </c>
      <c r="Z117" s="80">
        <f t="shared" si="52"/>
        <v>4.65853887011513</v>
      </c>
      <c r="AA117" s="80">
        <f t="shared" si="52"/>
        <v>4.8273873607279</v>
      </c>
      <c r="AB117" s="80">
        <f t="shared" si="52"/>
        <v>5.50491624368406</v>
      </c>
      <c r="AC117" s="80">
        <f t="shared" si="52"/>
        <v>6.57493840082944</v>
      </c>
      <c r="AD117" s="80">
        <f t="shared" si="52"/>
        <v>5.54614393077102</v>
      </c>
      <c r="AE117" s="80">
        <f t="shared" si="52"/>
        <v>4.97403267808785</v>
      </c>
      <c r="AF117" s="80">
        <f t="shared" si="52"/>
        <v>5.04125895265888</v>
      </c>
      <c r="AG117" s="80">
        <f t="shared" si="52"/>
        <v>4.67277167348232</v>
      </c>
      <c r="AH117" s="80">
        <f t="shared" si="52"/>
        <v>4.69027802162396</v>
      </c>
      <c r="AI117" s="80">
        <f t="shared" si="52"/>
        <v>5.52403564287399</v>
      </c>
      <c r="AJ117" s="80">
        <f t="shared" si="52"/>
        <v>5.71167143393145</v>
      </c>
      <c r="AK117" s="80">
        <f t="shared" si="52"/>
        <v>5.24796670022838</v>
      </c>
    </row>
    <row r="118" customHeight="1" spans="1:48">
      <c r="A118" s="81" t="s">
        <v>83</v>
      </c>
      <c r="B118" s="81">
        <v>0.02</v>
      </c>
      <c r="C118" s="82"/>
      <c r="D118" s="83"/>
      <c r="E118" s="79" t="s">
        <v>41</v>
      </c>
      <c r="F118" s="80">
        <f>SUM(G118:AK118)</f>
        <v>56000</v>
      </c>
      <c r="G118" s="80">
        <f t="shared" ref="G118:AK118" si="53">$B119*G$9</f>
        <v>1811.10933147414</v>
      </c>
      <c r="H118" s="80">
        <f t="shared" si="53"/>
        <v>1738.57094770237</v>
      </c>
      <c r="I118" s="80">
        <f t="shared" si="53"/>
        <v>1834.1962669307</v>
      </c>
      <c r="J118" s="80">
        <f t="shared" si="53"/>
        <v>1821.69350825547</v>
      </c>
      <c r="K118" s="80">
        <f t="shared" si="53"/>
        <v>1699.16007796523</v>
      </c>
      <c r="L118" s="80">
        <f t="shared" si="53"/>
        <v>1809.28667867493</v>
      </c>
      <c r="M118" s="80">
        <f t="shared" si="53"/>
        <v>1848.45772567534</v>
      </c>
      <c r="N118" s="80">
        <f t="shared" si="53"/>
        <v>1786.10381412367</v>
      </c>
      <c r="O118" s="80">
        <f t="shared" si="53"/>
        <v>1732.65532019619</v>
      </c>
      <c r="P118" s="80">
        <f t="shared" si="53"/>
        <v>1805.56143216428</v>
      </c>
      <c r="Q118" s="80">
        <f t="shared" si="53"/>
        <v>2102.01431113631</v>
      </c>
      <c r="R118" s="80">
        <f t="shared" si="53"/>
        <v>1885.03868711898</v>
      </c>
      <c r="S118" s="80">
        <f t="shared" si="53"/>
        <v>1711.07127388984</v>
      </c>
      <c r="T118" s="80">
        <f t="shared" si="53"/>
        <v>1536.78409701172</v>
      </c>
      <c r="U118" s="80">
        <f t="shared" si="53"/>
        <v>2525.87701604557</v>
      </c>
      <c r="V118" s="80">
        <f t="shared" si="53"/>
        <v>1750.21034452535</v>
      </c>
      <c r="W118" s="80">
        <f t="shared" si="53"/>
        <v>1829.86346948698</v>
      </c>
      <c r="X118" s="80">
        <f t="shared" si="53"/>
        <v>1946.84900046737</v>
      </c>
      <c r="Y118" s="80">
        <f t="shared" si="53"/>
        <v>1603.27894781771</v>
      </c>
      <c r="Z118" s="80">
        <f t="shared" si="53"/>
        <v>1569.9275992288</v>
      </c>
      <c r="AA118" s="80">
        <f t="shared" si="53"/>
        <v>1626.8295405653</v>
      </c>
      <c r="AB118" s="80">
        <f t="shared" si="53"/>
        <v>1855.15677412153</v>
      </c>
      <c r="AC118" s="80">
        <f t="shared" si="53"/>
        <v>2215.75424107952</v>
      </c>
      <c r="AD118" s="80">
        <f t="shared" si="53"/>
        <v>1869.05050466983</v>
      </c>
      <c r="AE118" s="80">
        <f t="shared" si="53"/>
        <v>1676.24901251561</v>
      </c>
      <c r="AF118" s="80">
        <f t="shared" si="53"/>
        <v>1698.90426704604</v>
      </c>
      <c r="AG118" s="80">
        <f t="shared" si="53"/>
        <v>1574.72405396354</v>
      </c>
      <c r="AH118" s="80">
        <f t="shared" si="53"/>
        <v>1580.62369328728</v>
      </c>
      <c r="AI118" s="80">
        <f t="shared" si="53"/>
        <v>1861.60001164853</v>
      </c>
      <c r="AJ118" s="80">
        <f t="shared" si="53"/>
        <v>1924.8332732349</v>
      </c>
      <c r="AK118" s="80">
        <f t="shared" si="53"/>
        <v>1768.56477797696</v>
      </c>
    </row>
    <row r="119" customHeight="1" spans="1:48">
      <c r="A119" s="78" t="s">
        <v>41</v>
      </c>
      <c r="B119" s="78">
        <f>B118*$E$12</f>
        <v>56000</v>
      </c>
      <c r="C119" s="82"/>
      <c r="D119" s="83"/>
      <c r="E119" s="79" t="s">
        <v>46</v>
      </c>
      <c r="F119" s="84">
        <f t="shared" ref="F119:AK119" si="54">F120/F118</f>
        <v>0</v>
      </c>
      <c r="G119" s="84">
        <f t="shared" si="54"/>
        <v>0</v>
      </c>
      <c r="H119" s="84">
        <f t="shared" si="54"/>
        <v>0</v>
      </c>
      <c r="I119" s="84">
        <f t="shared" si="54"/>
        <v>0</v>
      </c>
      <c r="J119" s="84">
        <f t="shared" si="54"/>
        <v>0</v>
      </c>
      <c r="K119" s="84">
        <f t="shared" si="54"/>
        <v>0</v>
      </c>
      <c r="L119" s="84">
        <f t="shared" si="54"/>
        <v>0</v>
      </c>
      <c r="M119" s="84">
        <f t="shared" si="54"/>
        <v>0</v>
      </c>
      <c r="N119" s="84">
        <f t="shared" si="54"/>
        <v>0</v>
      </c>
      <c r="O119" s="84">
        <f t="shared" si="54"/>
        <v>0</v>
      </c>
      <c r="P119" s="84">
        <f t="shared" si="54"/>
        <v>0</v>
      </c>
      <c r="Q119" s="84">
        <f t="shared" si="54"/>
        <v>0</v>
      </c>
      <c r="R119" s="84">
        <f t="shared" si="54"/>
        <v>0</v>
      </c>
      <c r="S119" s="84">
        <f t="shared" si="54"/>
        <v>0</v>
      </c>
      <c r="T119" s="84">
        <f t="shared" si="54"/>
        <v>0</v>
      </c>
      <c r="U119" s="84">
        <f t="shared" si="54"/>
        <v>0</v>
      </c>
      <c r="V119" s="84">
        <f t="shared" si="54"/>
        <v>0</v>
      </c>
      <c r="W119" s="84">
        <f t="shared" si="54"/>
        <v>0</v>
      </c>
      <c r="X119" s="84">
        <f t="shared" si="54"/>
        <v>0</v>
      </c>
      <c r="Y119" s="84">
        <f t="shared" si="54"/>
        <v>0</v>
      </c>
      <c r="Z119" s="84">
        <f t="shared" si="54"/>
        <v>0</v>
      </c>
      <c r="AA119" s="84">
        <f t="shared" si="54"/>
        <v>0</v>
      </c>
      <c r="AB119" s="84">
        <f t="shared" si="54"/>
        <v>0</v>
      </c>
      <c r="AC119" s="84">
        <f t="shared" si="54"/>
        <v>0</v>
      </c>
      <c r="AD119" s="84">
        <f t="shared" si="54"/>
        <v>0</v>
      </c>
      <c r="AE119" s="84">
        <f t="shared" si="54"/>
        <v>0</v>
      </c>
      <c r="AF119" s="84">
        <f t="shared" si="54"/>
        <v>0</v>
      </c>
      <c r="AG119" s="84">
        <f t="shared" si="54"/>
        <v>0</v>
      </c>
      <c r="AH119" s="84">
        <f t="shared" si="54"/>
        <v>0</v>
      </c>
      <c r="AI119" s="84">
        <f t="shared" si="54"/>
        <v>0</v>
      </c>
      <c r="AJ119" s="84">
        <f t="shared" si="54"/>
        <v>0</v>
      </c>
      <c r="AK119" s="84">
        <f t="shared" si="54"/>
        <v>0</v>
      </c>
    </row>
    <row r="120" customHeight="1" spans="1:48">
      <c r="A120" s="85" t="s">
        <v>84</v>
      </c>
      <c r="B120" s="81">
        <v>0</v>
      </c>
      <c r="C120" s="82"/>
      <c r="D120" s="83"/>
      <c r="E120" s="86" t="s">
        <v>45</v>
      </c>
      <c r="F120" s="80">
        <f>SUM(G120:AK120)</f>
        <v>0</v>
      </c>
      <c r="G120" s="80">
        <f t="shared" ref="G120:AK120" si="55">$B121*G$9</f>
        <v>0</v>
      </c>
      <c r="H120" s="80">
        <f t="shared" si="55"/>
        <v>0</v>
      </c>
      <c r="I120" s="80">
        <f t="shared" si="55"/>
        <v>0</v>
      </c>
      <c r="J120" s="80">
        <f t="shared" si="55"/>
        <v>0</v>
      </c>
      <c r="K120" s="80">
        <f t="shared" si="55"/>
        <v>0</v>
      </c>
      <c r="L120" s="80">
        <f t="shared" si="55"/>
        <v>0</v>
      </c>
      <c r="M120" s="80">
        <f t="shared" si="55"/>
        <v>0</v>
      </c>
      <c r="N120" s="80">
        <f t="shared" si="55"/>
        <v>0</v>
      </c>
      <c r="O120" s="80">
        <f t="shared" si="55"/>
        <v>0</v>
      </c>
      <c r="P120" s="80">
        <f t="shared" si="55"/>
        <v>0</v>
      </c>
      <c r="Q120" s="80">
        <f t="shared" si="55"/>
        <v>0</v>
      </c>
      <c r="R120" s="80">
        <f t="shared" si="55"/>
        <v>0</v>
      </c>
      <c r="S120" s="80">
        <f t="shared" si="55"/>
        <v>0</v>
      </c>
      <c r="T120" s="80">
        <f t="shared" si="55"/>
        <v>0</v>
      </c>
      <c r="U120" s="80">
        <f t="shared" si="55"/>
        <v>0</v>
      </c>
      <c r="V120" s="80">
        <f t="shared" si="55"/>
        <v>0</v>
      </c>
      <c r="W120" s="80">
        <f t="shared" si="55"/>
        <v>0</v>
      </c>
      <c r="X120" s="80">
        <f t="shared" si="55"/>
        <v>0</v>
      </c>
      <c r="Y120" s="80">
        <f t="shared" si="55"/>
        <v>0</v>
      </c>
      <c r="Z120" s="80">
        <f t="shared" si="55"/>
        <v>0</v>
      </c>
      <c r="AA120" s="80">
        <f t="shared" si="55"/>
        <v>0</v>
      </c>
      <c r="AB120" s="80">
        <f t="shared" si="55"/>
        <v>0</v>
      </c>
      <c r="AC120" s="80">
        <f t="shared" si="55"/>
        <v>0</v>
      </c>
      <c r="AD120" s="80">
        <f t="shared" si="55"/>
        <v>0</v>
      </c>
      <c r="AE120" s="80">
        <f t="shared" si="55"/>
        <v>0</v>
      </c>
      <c r="AF120" s="80">
        <f t="shared" si="55"/>
        <v>0</v>
      </c>
      <c r="AG120" s="80">
        <f t="shared" si="55"/>
        <v>0</v>
      </c>
      <c r="AH120" s="80">
        <f t="shared" si="55"/>
        <v>0</v>
      </c>
      <c r="AI120" s="80">
        <f t="shared" si="55"/>
        <v>0</v>
      </c>
      <c r="AJ120" s="80">
        <f t="shared" si="55"/>
        <v>0</v>
      </c>
      <c r="AK120" s="80">
        <f t="shared" si="55"/>
        <v>0</v>
      </c>
    </row>
    <row r="121" customHeight="1" spans="1:48">
      <c r="A121" s="78" t="s">
        <v>45</v>
      </c>
      <c r="B121" s="78">
        <f>B120*$B$16</f>
        <v>0</v>
      </c>
      <c r="C121" s="82"/>
      <c r="D121" s="83"/>
      <c r="E121" s="86" t="s">
        <v>44</v>
      </c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40"/>
    </row>
    <row r="122" customHeight="1" spans="1:48">
      <c r="A122" s="78" t="s">
        <v>46</v>
      </c>
      <c r="B122" s="87">
        <f>B121/B119</f>
        <v>0</v>
      </c>
      <c r="C122" s="82"/>
      <c r="D122" s="83"/>
      <c r="E122" s="79" t="s">
        <v>85</v>
      </c>
      <c r="F122" s="88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  <c r="AE122" s="89"/>
      <c r="AF122" s="89"/>
      <c r="AG122" s="89"/>
      <c r="AH122" s="89"/>
      <c r="AI122" s="89"/>
      <c r="AJ122" s="89"/>
      <c r="AK122" s="40"/>
    </row>
    <row r="123" customHeight="1" spans="1:48">
      <c r="A123" s="78"/>
      <c r="B123" s="87"/>
      <c r="C123" s="82"/>
      <c r="D123" s="83"/>
      <c r="E123" s="79" t="s">
        <v>86</v>
      </c>
      <c r="F123" s="88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  <c r="AE123" s="89"/>
      <c r="AF123" s="89"/>
      <c r="AG123" s="89"/>
      <c r="AH123" s="89"/>
      <c r="AI123" s="89"/>
      <c r="AJ123" s="89"/>
      <c r="AK123" s="40"/>
    </row>
    <row r="124" ht="19.5" customHeight="1" spans="1:48">
      <c r="A124" s="78"/>
      <c r="B124" s="78"/>
      <c r="C124" s="82"/>
      <c r="D124" s="83"/>
      <c r="E124" s="79" t="s">
        <v>43</v>
      </c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  <c r="AA124" s="90"/>
      <c r="AB124" s="90"/>
      <c r="AC124" s="90"/>
      <c r="AD124" s="90"/>
      <c r="AE124" s="90"/>
      <c r="AF124" s="90"/>
      <c r="AG124" s="90"/>
      <c r="AH124" s="90"/>
      <c r="AI124" s="90"/>
      <c r="AJ124" s="90"/>
      <c r="AK124" s="48"/>
    </row>
    <row r="125" s="5" customFormat="1" customHeight="1" spans="1:48">
      <c r="A125" s="87"/>
      <c r="B125" s="87"/>
      <c r="C125" s="91"/>
      <c r="D125" s="92"/>
      <c r="E125" s="93" t="s">
        <v>47</v>
      </c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4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</row>
    <row r="126" customHeight="1" spans="1:48">
      <c r="A126" s="77" t="s">
        <v>80</v>
      </c>
      <c r="B126" s="78">
        <v>247</v>
      </c>
      <c r="C126" s="82"/>
      <c r="D126" s="79" t="s">
        <v>93</v>
      </c>
      <c r="E126" s="79" t="s">
        <v>82</v>
      </c>
      <c r="F126" s="80">
        <f>SUM(G126:AK126)</f>
        <v>566.801619433198</v>
      </c>
      <c r="G126" s="80">
        <f t="shared" ref="G126:AK126" si="56">G127/$B126</f>
        <v>18.3310661080378</v>
      </c>
      <c r="H126" s="80">
        <f t="shared" si="56"/>
        <v>17.5968719403074</v>
      </c>
      <c r="I126" s="80">
        <f t="shared" si="56"/>
        <v>18.564739543833</v>
      </c>
      <c r="J126" s="80">
        <f t="shared" si="56"/>
        <v>18.4381934033954</v>
      </c>
      <c r="K126" s="80">
        <f t="shared" si="56"/>
        <v>17.1979764976238</v>
      </c>
      <c r="L126" s="80">
        <f t="shared" si="56"/>
        <v>18.3126182052119</v>
      </c>
      <c r="M126" s="80">
        <f t="shared" si="56"/>
        <v>18.7090862922605</v>
      </c>
      <c r="N126" s="80">
        <f t="shared" si="56"/>
        <v>18.0779738271627</v>
      </c>
      <c r="O126" s="80">
        <f t="shared" si="56"/>
        <v>17.5369971679776</v>
      </c>
      <c r="P126" s="80">
        <f t="shared" si="56"/>
        <v>18.274913281015</v>
      </c>
      <c r="Q126" s="80">
        <f t="shared" si="56"/>
        <v>21.2754484932825</v>
      </c>
      <c r="R126" s="80">
        <f t="shared" si="56"/>
        <v>19.0793389384512</v>
      </c>
      <c r="S126" s="80">
        <f t="shared" si="56"/>
        <v>17.3185351608284</v>
      </c>
      <c r="T126" s="80">
        <f t="shared" si="56"/>
        <v>15.5544949090255</v>
      </c>
      <c r="U126" s="80">
        <f t="shared" si="56"/>
        <v>25.5655568425665</v>
      </c>
      <c r="V126" s="80">
        <f t="shared" si="56"/>
        <v>17.714679600459</v>
      </c>
      <c r="W126" s="80">
        <f t="shared" si="56"/>
        <v>18.5208853186941</v>
      </c>
      <c r="X126" s="80">
        <f t="shared" si="56"/>
        <v>19.704949397443</v>
      </c>
      <c r="Y126" s="80">
        <f t="shared" si="56"/>
        <v>16.2275197147542</v>
      </c>
      <c r="Z126" s="80">
        <f t="shared" si="56"/>
        <v>15.8899554577814</v>
      </c>
      <c r="AA126" s="80">
        <f t="shared" si="56"/>
        <v>16.4658860381103</v>
      </c>
      <c r="AB126" s="80">
        <f t="shared" si="56"/>
        <v>18.7768904263313</v>
      </c>
      <c r="AC126" s="80">
        <f t="shared" si="56"/>
        <v>22.4266623591045</v>
      </c>
      <c r="AD126" s="80">
        <f t="shared" si="56"/>
        <v>18.9175152294518</v>
      </c>
      <c r="AE126" s="80">
        <f t="shared" si="56"/>
        <v>16.9660831226276</v>
      </c>
      <c r="AF126" s="80">
        <f t="shared" si="56"/>
        <v>17.1953873182798</v>
      </c>
      <c r="AG126" s="80">
        <f t="shared" si="56"/>
        <v>15.9385025704812</v>
      </c>
      <c r="AH126" s="80">
        <f t="shared" si="56"/>
        <v>15.998215519102</v>
      </c>
      <c r="AI126" s="80">
        <f t="shared" si="56"/>
        <v>18.842105381058</v>
      </c>
      <c r="AJ126" s="80">
        <f t="shared" si="56"/>
        <v>19.4821181501508</v>
      </c>
      <c r="AK126" s="80">
        <f t="shared" si="56"/>
        <v>17.9004532183903</v>
      </c>
    </row>
    <row r="127" customHeight="1" spans="1:48">
      <c r="A127" s="81" t="s">
        <v>83</v>
      </c>
      <c r="B127" s="81">
        <v>0.05</v>
      </c>
      <c r="C127" s="82"/>
      <c r="D127" s="83"/>
      <c r="E127" s="79" t="s">
        <v>41</v>
      </c>
      <c r="F127" s="80">
        <f>SUM(G127:AK127)</f>
        <v>140000</v>
      </c>
      <c r="G127" s="80">
        <f t="shared" ref="G127:AK127" si="57">$B128*G$9</f>
        <v>4527.77332868534</v>
      </c>
      <c r="H127" s="80">
        <f t="shared" si="57"/>
        <v>4346.42736925592</v>
      </c>
      <c r="I127" s="80">
        <f t="shared" si="57"/>
        <v>4585.49066732675</v>
      </c>
      <c r="J127" s="80">
        <f t="shared" si="57"/>
        <v>4554.23377063867</v>
      </c>
      <c r="K127" s="80">
        <f t="shared" si="57"/>
        <v>4247.90019491307</v>
      </c>
      <c r="L127" s="80">
        <f t="shared" si="57"/>
        <v>4523.21669668733</v>
      </c>
      <c r="M127" s="80">
        <f t="shared" si="57"/>
        <v>4621.14431418834</v>
      </c>
      <c r="N127" s="80">
        <f t="shared" si="57"/>
        <v>4465.25953530919</v>
      </c>
      <c r="O127" s="80">
        <f t="shared" si="57"/>
        <v>4331.63830049047</v>
      </c>
      <c r="P127" s="80">
        <f t="shared" si="57"/>
        <v>4513.90358041071</v>
      </c>
      <c r="Q127" s="80">
        <f t="shared" si="57"/>
        <v>5255.03577784078</v>
      </c>
      <c r="R127" s="80">
        <f t="shared" si="57"/>
        <v>4712.59671779745</v>
      </c>
      <c r="S127" s="80">
        <f t="shared" si="57"/>
        <v>4277.6781847246</v>
      </c>
      <c r="T127" s="80">
        <f t="shared" si="57"/>
        <v>3841.96024252931</v>
      </c>
      <c r="U127" s="80">
        <f t="shared" si="57"/>
        <v>6314.69254011392</v>
      </c>
      <c r="V127" s="80">
        <f t="shared" si="57"/>
        <v>4375.52586131337</v>
      </c>
      <c r="W127" s="80">
        <f t="shared" si="57"/>
        <v>4574.65867371745</v>
      </c>
      <c r="X127" s="80">
        <f t="shared" si="57"/>
        <v>4867.12250116842</v>
      </c>
      <c r="Y127" s="80">
        <f t="shared" si="57"/>
        <v>4008.19736954428</v>
      </c>
      <c r="Z127" s="80">
        <f t="shared" si="57"/>
        <v>3924.818998072</v>
      </c>
      <c r="AA127" s="80">
        <f t="shared" si="57"/>
        <v>4067.07385141326</v>
      </c>
      <c r="AB127" s="80">
        <f t="shared" si="57"/>
        <v>4637.89193530382</v>
      </c>
      <c r="AC127" s="80">
        <f t="shared" si="57"/>
        <v>5539.38560269881</v>
      </c>
      <c r="AD127" s="80">
        <f t="shared" si="57"/>
        <v>4672.62626167458</v>
      </c>
      <c r="AE127" s="80">
        <f t="shared" si="57"/>
        <v>4190.62253128902</v>
      </c>
      <c r="AF127" s="80">
        <f t="shared" si="57"/>
        <v>4247.26066761511</v>
      </c>
      <c r="AG127" s="80">
        <f t="shared" si="57"/>
        <v>3936.81013490885</v>
      </c>
      <c r="AH127" s="80">
        <f t="shared" si="57"/>
        <v>3951.55923321819</v>
      </c>
      <c r="AI127" s="80">
        <f t="shared" si="57"/>
        <v>4654.00002912133</v>
      </c>
      <c r="AJ127" s="80">
        <f t="shared" si="57"/>
        <v>4812.08318308724</v>
      </c>
      <c r="AK127" s="80">
        <f t="shared" si="57"/>
        <v>4421.41194494241</v>
      </c>
    </row>
    <row r="128" customHeight="1" spans="1:48">
      <c r="A128" s="78" t="s">
        <v>41</v>
      </c>
      <c r="B128" s="78">
        <f>B127*$E$12</f>
        <v>140000</v>
      </c>
      <c r="C128" s="82"/>
      <c r="D128" s="83"/>
      <c r="E128" s="79" t="s">
        <v>46</v>
      </c>
      <c r="F128" s="84">
        <f t="shared" ref="F128:AK128" si="58">F129/F127</f>
        <v>0</v>
      </c>
      <c r="G128" s="84">
        <f t="shared" si="58"/>
        <v>0</v>
      </c>
      <c r="H128" s="84">
        <f t="shared" si="58"/>
        <v>0</v>
      </c>
      <c r="I128" s="84">
        <f t="shared" si="58"/>
        <v>0</v>
      </c>
      <c r="J128" s="84">
        <f t="shared" si="58"/>
        <v>0</v>
      </c>
      <c r="K128" s="84">
        <f t="shared" si="58"/>
        <v>0</v>
      </c>
      <c r="L128" s="84">
        <f t="shared" si="58"/>
        <v>0</v>
      </c>
      <c r="M128" s="84">
        <f t="shared" si="58"/>
        <v>0</v>
      </c>
      <c r="N128" s="84">
        <f t="shared" si="58"/>
        <v>0</v>
      </c>
      <c r="O128" s="84">
        <f t="shared" si="58"/>
        <v>0</v>
      </c>
      <c r="P128" s="84">
        <f t="shared" si="58"/>
        <v>0</v>
      </c>
      <c r="Q128" s="84">
        <f t="shared" si="58"/>
        <v>0</v>
      </c>
      <c r="R128" s="84">
        <f t="shared" si="58"/>
        <v>0</v>
      </c>
      <c r="S128" s="84">
        <f t="shared" si="58"/>
        <v>0</v>
      </c>
      <c r="T128" s="84">
        <f t="shared" si="58"/>
        <v>0</v>
      </c>
      <c r="U128" s="84">
        <f t="shared" si="58"/>
        <v>0</v>
      </c>
      <c r="V128" s="84">
        <f t="shared" si="58"/>
        <v>0</v>
      </c>
      <c r="W128" s="84">
        <f t="shared" si="58"/>
        <v>0</v>
      </c>
      <c r="X128" s="84">
        <f t="shared" si="58"/>
        <v>0</v>
      </c>
      <c r="Y128" s="84">
        <f t="shared" si="58"/>
        <v>0</v>
      </c>
      <c r="Z128" s="84">
        <f t="shared" si="58"/>
        <v>0</v>
      </c>
      <c r="AA128" s="84">
        <f t="shared" si="58"/>
        <v>0</v>
      </c>
      <c r="AB128" s="84">
        <f t="shared" si="58"/>
        <v>0</v>
      </c>
      <c r="AC128" s="84">
        <f t="shared" si="58"/>
        <v>0</v>
      </c>
      <c r="AD128" s="84">
        <f t="shared" si="58"/>
        <v>0</v>
      </c>
      <c r="AE128" s="84">
        <f t="shared" si="58"/>
        <v>0</v>
      </c>
      <c r="AF128" s="84">
        <f t="shared" si="58"/>
        <v>0</v>
      </c>
      <c r="AG128" s="84">
        <f t="shared" si="58"/>
        <v>0</v>
      </c>
      <c r="AH128" s="84">
        <f t="shared" si="58"/>
        <v>0</v>
      </c>
      <c r="AI128" s="84">
        <f t="shared" si="58"/>
        <v>0</v>
      </c>
      <c r="AJ128" s="84">
        <f t="shared" si="58"/>
        <v>0</v>
      </c>
      <c r="AK128" s="84">
        <f t="shared" si="58"/>
        <v>0</v>
      </c>
    </row>
    <row r="129" customHeight="1" spans="1:48">
      <c r="A129" s="85" t="s">
        <v>84</v>
      </c>
      <c r="B129" s="81">
        <v>0</v>
      </c>
      <c r="C129" s="82"/>
      <c r="D129" s="83"/>
      <c r="E129" s="86" t="s">
        <v>45</v>
      </c>
      <c r="F129" s="80">
        <f>SUM(G129:AK129)</f>
        <v>0</v>
      </c>
      <c r="G129" s="80">
        <f t="shared" ref="G129:AK129" si="59">$B130*G$9</f>
        <v>0</v>
      </c>
      <c r="H129" s="80">
        <f t="shared" si="59"/>
        <v>0</v>
      </c>
      <c r="I129" s="80">
        <f t="shared" si="59"/>
        <v>0</v>
      </c>
      <c r="J129" s="80">
        <f t="shared" si="59"/>
        <v>0</v>
      </c>
      <c r="K129" s="80">
        <f t="shared" si="59"/>
        <v>0</v>
      </c>
      <c r="L129" s="80">
        <f t="shared" si="59"/>
        <v>0</v>
      </c>
      <c r="M129" s="80">
        <f t="shared" si="59"/>
        <v>0</v>
      </c>
      <c r="N129" s="80">
        <f t="shared" si="59"/>
        <v>0</v>
      </c>
      <c r="O129" s="80">
        <f t="shared" si="59"/>
        <v>0</v>
      </c>
      <c r="P129" s="80">
        <f t="shared" si="59"/>
        <v>0</v>
      </c>
      <c r="Q129" s="80">
        <f t="shared" si="59"/>
        <v>0</v>
      </c>
      <c r="R129" s="80">
        <f t="shared" si="59"/>
        <v>0</v>
      </c>
      <c r="S129" s="80">
        <f t="shared" si="59"/>
        <v>0</v>
      </c>
      <c r="T129" s="80">
        <f t="shared" si="59"/>
        <v>0</v>
      </c>
      <c r="U129" s="80">
        <f t="shared" si="59"/>
        <v>0</v>
      </c>
      <c r="V129" s="80">
        <f t="shared" si="59"/>
        <v>0</v>
      </c>
      <c r="W129" s="80">
        <f t="shared" si="59"/>
        <v>0</v>
      </c>
      <c r="X129" s="80">
        <f t="shared" si="59"/>
        <v>0</v>
      </c>
      <c r="Y129" s="80">
        <f t="shared" si="59"/>
        <v>0</v>
      </c>
      <c r="Z129" s="80">
        <f t="shared" si="59"/>
        <v>0</v>
      </c>
      <c r="AA129" s="80">
        <f t="shared" si="59"/>
        <v>0</v>
      </c>
      <c r="AB129" s="80">
        <f t="shared" si="59"/>
        <v>0</v>
      </c>
      <c r="AC129" s="80">
        <f t="shared" si="59"/>
        <v>0</v>
      </c>
      <c r="AD129" s="80">
        <f t="shared" si="59"/>
        <v>0</v>
      </c>
      <c r="AE129" s="80">
        <f t="shared" si="59"/>
        <v>0</v>
      </c>
      <c r="AF129" s="80">
        <f t="shared" si="59"/>
        <v>0</v>
      </c>
      <c r="AG129" s="80">
        <f t="shared" si="59"/>
        <v>0</v>
      </c>
      <c r="AH129" s="80">
        <f t="shared" si="59"/>
        <v>0</v>
      </c>
      <c r="AI129" s="80">
        <f t="shared" si="59"/>
        <v>0</v>
      </c>
      <c r="AJ129" s="80">
        <f t="shared" si="59"/>
        <v>0</v>
      </c>
      <c r="AK129" s="80">
        <f t="shared" si="59"/>
        <v>0</v>
      </c>
    </row>
    <row r="130" customHeight="1" spans="1:48">
      <c r="A130" s="78" t="s">
        <v>45</v>
      </c>
      <c r="B130" s="78">
        <f>B129*$B$16</f>
        <v>0</v>
      </c>
      <c r="C130" s="82"/>
      <c r="D130" s="83"/>
      <c r="E130" s="86" t="s">
        <v>44</v>
      </c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40"/>
    </row>
    <row r="131" customHeight="1" spans="1:48">
      <c r="A131" s="78" t="s">
        <v>46</v>
      </c>
      <c r="B131" s="87">
        <f>B130/B128</f>
        <v>0</v>
      </c>
      <c r="C131" s="82"/>
      <c r="D131" s="83"/>
      <c r="E131" s="79" t="s">
        <v>85</v>
      </c>
      <c r="F131" s="88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  <c r="AE131" s="89"/>
      <c r="AF131" s="89"/>
      <c r="AG131" s="89"/>
      <c r="AH131" s="89"/>
      <c r="AI131" s="89"/>
      <c r="AJ131" s="89"/>
      <c r="AK131" s="40"/>
    </row>
    <row r="132" customHeight="1" spans="1:48">
      <c r="A132" s="78"/>
      <c r="B132" s="87"/>
      <c r="C132" s="82"/>
      <c r="D132" s="83"/>
      <c r="E132" s="79" t="s">
        <v>86</v>
      </c>
      <c r="F132" s="88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  <c r="AD132" s="89"/>
      <c r="AE132" s="89"/>
      <c r="AF132" s="89"/>
      <c r="AG132" s="89"/>
      <c r="AH132" s="89"/>
      <c r="AI132" s="89"/>
      <c r="AJ132" s="89"/>
      <c r="AK132" s="40"/>
    </row>
    <row r="133" ht="19.5" customHeight="1" spans="1:48">
      <c r="A133" s="78"/>
      <c r="B133" s="78"/>
      <c r="C133" s="82"/>
      <c r="D133" s="83"/>
      <c r="E133" s="79" t="s">
        <v>43</v>
      </c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  <c r="AA133" s="90"/>
      <c r="AB133" s="90"/>
      <c r="AC133" s="90"/>
      <c r="AD133" s="90"/>
      <c r="AE133" s="90"/>
      <c r="AF133" s="90"/>
      <c r="AG133" s="90"/>
      <c r="AH133" s="90"/>
      <c r="AI133" s="90"/>
      <c r="AJ133" s="90"/>
      <c r="AK133" s="48"/>
    </row>
    <row r="134" s="5" customFormat="1" customHeight="1" spans="1:48">
      <c r="A134" s="87"/>
      <c r="B134" s="87"/>
      <c r="C134" s="91"/>
      <c r="D134" s="92"/>
      <c r="E134" s="94" t="s">
        <v>47</v>
      </c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4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</row>
    <row r="135" ht="19.5" customHeight="1" spans="1:48">
      <c r="A135" s="77"/>
      <c r="B135" s="78"/>
      <c r="C135" s="82"/>
      <c r="D135" s="95" t="s">
        <v>94</v>
      </c>
      <c r="E135" s="79" t="s">
        <v>82</v>
      </c>
      <c r="F135" s="96">
        <f>SUM(G135:AK135)</f>
        <v>5712.10196258234</v>
      </c>
      <c r="G135" s="80">
        <f t="shared" ref="G135:AJ135" si="60">G126+G117+G108+G99+G90+G81+G72+G63</f>
        <v>184.736449406511</v>
      </c>
      <c r="H135" s="80">
        <f t="shared" si="60"/>
        <v>177.337402186774</v>
      </c>
      <c r="I135" s="80">
        <f t="shared" si="60"/>
        <v>187.091358858858</v>
      </c>
      <c r="J135" s="80">
        <f t="shared" si="60"/>
        <v>185.816054709457</v>
      </c>
      <c r="K135" s="80">
        <f t="shared" si="60"/>
        <v>173.317421715835</v>
      </c>
      <c r="L135" s="80">
        <f t="shared" si="60"/>
        <v>184.550535502378</v>
      </c>
      <c r="M135" s="80">
        <f t="shared" si="60"/>
        <v>188.54605361751</v>
      </c>
      <c r="N135" s="80">
        <f t="shared" si="60"/>
        <v>182.185841107708</v>
      </c>
      <c r="O135" s="80">
        <f t="shared" si="60"/>
        <v>176.733997410203</v>
      </c>
      <c r="P135" s="80">
        <f t="shared" si="60"/>
        <v>184.17055357551</v>
      </c>
      <c r="Q135" s="80">
        <f t="shared" si="60"/>
        <v>214.409287000319</v>
      </c>
      <c r="R135" s="80">
        <f t="shared" si="60"/>
        <v>192.277378289928</v>
      </c>
      <c r="S135" s="80">
        <f t="shared" si="60"/>
        <v>174.532385387579</v>
      </c>
      <c r="T135" s="80">
        <f t="shared" si="60"/>
        <v>156.754776010821</v>
      </c>
      <c r="U135" s="80">
        <f t="shared" si="60"/>
        <v>257.644054653491</v>
      </c>
      <c r="V135" s="80">
        <f t="shared" si="60"/>
        <v>178.52464185527</v>
      </c>
      <c r="W135" s="80">
        <f t="shared" si="60"/>
        <v>186.649405630613</v>
      </c>
      <c r="X135" s="80">
        <f t="shared" si="60"/>
        <v>198.582142793234</v>
      </c>
      <c r="Y135" s="80">
        <f t="shared" si="60"/>
        <v>163.537371864223</v>
      </c>
      <c r="Z135" s="80">
        <f t="shared" si="60"/>
        <v>160.135473583339</v>
      </c>
      <c r="AA135" s="80">
        <f t="shared" si="60"/>
        <v>165.939575204464</v>
      </c>
      <c r="AB135" s="80">
        <f t="shared" si="60"/>
        <v>189.229368756384</v>
      </c>
      <c r="AC135" s="80">
        <f t="shared" si="60"/>
        <v>226.010966947687</v>
      </c>
      <c r="AD135" s="80">
        <f t="shared" si="60"/>
        <v>190.646554569466</v>
      </c>
      <c r="AE135" s="80">
        <f t="shared" si="60"/>
        <v>170.980451324413</v>
      </c>
      <c r="AF135" s="80">
        <f t="shared" si="60"/>
        <v>173.291328536307</v>
      </c>
      <c r="AG135" s="80">
        <f t="shared" si="60"/>
        <v>160.624720699478</v>
      </c>
      <c r="AH135" s="80">
        <f t="shared" si="60"/>
        <v>161.226494652329</v>
      </c>
      <c r="AI135" s="80">
        <f t="shared" si="60"/>
        <v>189.88659071573</v>
      </c>
      <c r="AJ135" s="80">
        <f t="shared" si="60"/>
        <v>196.336498530158</v>
      </c>
      <c r="AK135" s="97">
        <f>AK63+AK72+AK81+AK90+AK99+AK108+AK117+AK126</f>
        <v>180.396827486361</v>
      </c>
    </row>
    <row r="136" ht="19.2" customHeight="1" spans="1:48">
      <c r="A136" s="81" t="s">
        <v>83</v>
      </c>
      <c r="B136" s="81">
        <f>B64+B73+B82+B91+B100+B109+B118+B127</f>
        <v>1</v>
      </c>
      <c r="C136" s="82"/>
      <c r="D136" s="98"/>
      <c r="E136" s="79" t="s">
        <v>41</v>
      </c>
      <c r="F136" s="96">
        <f>SUM(G136:AK136)</f>
        <v>2800000</v>
      </c>
      <c r="G136" s="80">
        <f t="shared" ref="G136:AJ136" si="61">G127+G118+G109+G100+G91+G82+G73+G64</f>
        <v>90555.4665737068</v>
      </c>
      <c r="H136" s="80">
        <f t="shared" si="61"/>
        <v>86928.5473851185</v>
      </c>
      <c r="I136" s="80">
        <f t="shared" si="61"/>
        <v>91709.813346535</v>
      </c>
      <c r="J136" s="80">
        <f t="shared" si="61"/>
        <v>91084.6754127735</v>
      </c>
      <c r="K136" s="80">
        <f t="shared" si="61"/>
        <v>84958.0038982615</v>
      </c>
      <c r="L136" s="80">
        <f t="shared" si="61"/>
        <v>90464.3339337467</v>
      </c>
      <c r="M136" s="80">
        <f t="shared" si="61"/>
        <v>92422.8862837668</v>
      </c>
      <c r="N136" s="80">
        <f t="shared" si="61"/>
        <v>89305.1907061837</v>
      </c>
      <c r="O136" s="80">
        <f t="shared" si="61"/>
        <v>86632.7660098093</v>
      </c>
      <c r="P136" s="80">
        <f t="shared" si="61"/>
        <v>90278.0716082142</v>
      </c>
      <c r="Q136" s="80">
        <f t="shared" si="61"/>
        <v>105100.715556816</v>
      </c>
      <c r="R136" s="80">
        <f t="shared" si="61"/>
        <v>94251.9343559489</v>
      </c>
      <c r="S136" s="80">
        <f t="shared" si="61"/>
        <v>85553.5636944921</v>
      </c>
      <c r="T136" s="80">
        <f t="shared" si="61"/>
        <v>76839.2048505861</v>
      </c>
      <c r="U136" s="80">
        <f t="shared" si="61"/>
        <v>126293.850802278</v>
      </c>
      <c r="V136" s="80">
        <f t="shared" si="61"/>
        <v>87510.5172262673</v>
      </c>
      <c r="W136" s="80">
        <f t="shared" si="61"/>
        <v>91493.1734743491</v>
      </c>
      <c r="X136" s="80">
        <f t="shared" si="61"/>
        <v>97342.4500233684</v>
      </c>
      <c r="Y136" s="80">
        <f t="shared" si="61"/>
        <v>80163.9473908856</v>
      </c>
      <c r="Z136" s="80">
        <f t="shared" si="61"/>
        <v>78496.3799614399</v>
      </c>
      <c r="AA136" s="80">
        <f t="shared" si="61"/>
        <v>81341.4770282651</v>
      </c>
      <c r="AB136" s="80">
        <f t="shared" si="61"/>
        <v>92757.8387060764</v>
      </c>
      <c r="AC136" s="80">
        <f t="shared" si="61"/>
        <v>110787.712053976</v>
      </c>
      <c r="AD136" s="80">
        <f t="shared" si="61"/>
        <v>93452.5252334917</v>
      </c>
      <c r="AE136" s="80">
        <f t="shared" si="61"/>
        <v>83812.4506257803</v>
      </c>
      <c r="AF136" s="80">
        <f t="shared" si="61"/>
        <v>84945.2133523022</v>
      </c>
      <c r="AG136" s="80">
        <f t="shared" si="61"/>
        <v>78736.2026981771</v>
      </c>
      <c r="AH136" s="80">
        <f t="shared" si="61"/>
        <v>79031.1846643638</v>
      </c>
      <c r="AI136" s="80">
        <f t="shared" si="61"/>
        <v>93080.0005824267</v>
      </c>
      <c r="AJ136" s="80">
        <f t="shared" si="61"/>
        <v>96241.6636617449</v>
      </c>
      <c r="AK136" s="97">
        <f>AK64+AK73+AK82+AK91+AK100+AK109+AK118+AK127</f>
        <v>88428.2388988482</v>
      </c>
    </row>
    <row r="137" customHeight="1" spans="1:48">
      <c r="A137" s="78" t="s">
        <v>41</v>
      </c>
      <c r="B137" s="78">
        <f>B65+B74+B83+B92+B101+B110+B119+B128</f>
        <v>2800000</v>
      </c>
      <c r="C137" s="82"/>
      <c r="D137" s="98"/>
      <c r="E137" s="79" t="s">
        <v>46</v>
      </c>
      <c r="F137" s="84">
        <f t="shared" ref="F137:AK137" si="62">F138/F136</f>
        <v>0.0999999999999999</v>
      </c>
      <c r="G137" s="84">
        <f t="shared" si="62"/>
        <v>0.1</v>
      </c>
      <c r="H137" s="84">
        <f t="shared" si="62"/>
        <v>0.1</v>
      </c>
      <c r="I137" s="84">
        <f t="shared" si="62"/>
        <v>0.1</v>
      </c>
      <c r="J137" s="84">
        <f t="shared" si="62"/>
        <v>0.1</v>
      </c>
      <c r="K137" s="84">
        <f t="shared" si="62"/>
        <v>0.1</v>
      </c>
      <c r="L137" s="84">
        <f t="shared" si="62"/>
        <v>0.1</v>
      </c>
      <c r="M137" s="84">
        <f t="shared" si="62"/>
        <v>0.1</v>
      </c>
      <c r="N137" s="84">
        <f t="shared" si="62"/>
        <v>0.1</v>
      </c>
      <c r="O137" s="84">
        <f t="shared" si="62"/>
        <v>0.1</v>
      </c>
      <c r="P137" s="84">
        <f t="shared" si="62"/>
        <v>0.1</v>
      </c>
      <c r="Q137" s="84">
        <f t="shared" si="62"/>
        <v>0.1</v>
      </c>
      <c r="R137" s="84">
        <f t="shared" si="62"/>
        <v>0.1</v>
      </c>
      <c r="S137" s="84">
        <f t="shared" si="62"/>
        <v>0.1</v>
      </c>
      <c r="T137" s="84">
        <f t="shared" si="62"/>
        <v>0.1</v>
      </c>
      <c r="U137" s="84">
        <f t="shared" si="62"/>
        <v>0.1</v>
      </c>
      <c r="V137" s="84">
        <f t="shared" si="62"/>
        <v>0.1</v>
      </c>
      <c r="W137" s="84">
        <f t="shared" si="62"/>
        <v>0.1</v>
      </c>
      <c r="X137" s="84">
        <f t="shared" si="62"/>
        <v>0.1</v>
      </c>
      <c r="Y137" s="84">
        <f t="shared" si="62"/>
        <v>0.1</v>
      </c>
      <c r="Z137" s="84">
        <f t="shared" si="62"/>
        <v>0.1</v>
      </c>
      <c r="AA137" s="84">
        <f t="shared" si="62"/>
        <v>0.1</v>
      </c>
      <c r="AB137" s="84">
        <f t="shared" si="62"/>
        <v>0.1</v>
      </c>
      <c r="AC137" s="84">
        <f t="shared" si="62"/>
        <v>0.1</v>
      </c>
      <c r="AD137" s="84">
        <f t="shared" si="62"/>
        <v>0.1</v>
      </c>
      <c r="AE137" s="84">
        <f t="shared" si="62"/>
        <v>0.1</v>
      </c>
      <c r="AF137" s="84">
        <f t="shared" si="62"/>
        <v>0.1</v>
      </c>
      <c r="AG137" s="84">
        <f t="shared" si="62"/>
        <v>0.1</v>
      </c>
      <c r="AH137" s="84">
        <f t="shared" si="62"/>
        <v>0.1</v>
      </c>
      <c r="AI137" s="84">
        <f t="shared" si="62"/>
        <v>0.1</v>
      </c>
      <c r="AJ137" s="84">
        <f t="shared" si="62"/>
        <v>0.1</v>
      </c>
      <c r="AK137" s="84">
        <f t="shared" si="62"/>
        <v>0.1</v>
      </c>
    </row>
    <row r="138" customHeight="1" spans="1:48">
      <c r="A138" s="85" t="s">
        <v>84</v>
      </c>
      <c r="B138" s="81">
        <f>B66+B75+B84+B93+B102+B111+B120+B129</f>
        <v>1</v>
      </c>
      <c r="C138" s="82"/>
      <c r="D138" s="98"/>
      <c r="E138" s="86" t="s">
        <v>45</v>
      </c>
      <c r="F138" s="96">
        <f>SUM(G138:AK138)</f>
        <v>280000</v>
      </c>
      <c r="G138" s="80">
        <f t="shared" ref="G138:AK138" si="63">G129+G120+G111+G102+G93+G84+G75+G66</f>
        <v>9055.54665737068</v>
      </c>
      <c r="H138" s="80">
        <f t="shared" si="63"/>
        <v>8692.85473851185</v>
      </c>
      <c r="I138" s="80">
        <f t="shared" si="63"/>
        <v>9170.9813346535</v>
      </c>
      <c r="J138" s="80">
        <f t="shared" si="63"/>
        <v>9108.46754127735</v>
      </c>
      <c r="K138" s="80">
        <f t="shared" si="63"/>
        <v>8495.80038982615</v>
      </c>
      <c r="L138" s="80">
        <f t="shared" si="63"/>
        <v>9046.43339337467</v>
      </c>
      <c r="M138" s="80">
        <f t="shared" si="63"/>
        <v>9242.28862837668</v>
      </c>
      <c r="N138" s="80">
        <f t="shared" si="63"/>
        <v>8930.51907061837</v>
      </c>
      <c r="O138" s="80">
        <f t="shared" si="63"/>
        <v>8663.27660098093</v>
      </c>
      <c r="P138" s="80">
        <f t="shared" si="63"/>
        <v>9027.80716082142</v>
      </c>
      <c r="Q138" s="80">
        <f t="shared" si="63"/>
        <v>10510.0715556816</v>
      </c>
      <c r="R138" s="80">
        <f t="shared" si="63"/>
        <v>9425.19343559489</v>
      </c>
      <c r="S138" s="80">
        <f t="shared" si="63"/>
        <v>8555.35636944921</v>
      </c>
      <c r="T138" s="80">
        <f t="shared" si="63"/>
        <v>7683.92048505862</v>
      </c>
      <c r="U138" s="80">
        <f t="shared" si="63"/>
        <v>12629.3850802278</v>
      </c>
      <c r="V138" s="80">
        <f t="shared" si="63"/>
        <v>8751.05172262673</v>
      </c>
      <c r="W138" s="80">
        <f t="shared" si="63"/>
        <v>9149.31734743491</v>
      </c>
      <c r="X138" s="80">
        <f t="shared" si="63"/>
        <v>9734.24500233684</v>
      </c>
      <c r="Y138" s="80">
        <f t="shared" si="63"/>
        <v>8016.39473908857</v>
      </c>
      <c r="Z138" s="80">
        <f t="shared" si="63"/>
        <v>7849.63799614399</v>
      </c>
      <c r="AA138" s="80">
        <f t="shared" si="63"/>
        <v>8134.14770282651</v>
      </c>
      <c r="AB138" s="80">
        <f t="shared" si="63"/>
        <v>9275.78387060764</v>
      </c>
      <c r="AC138" s="80">
        <f t="shared" si="63"/>
        <v>11078.7712053976</v>
      </c>
      <c r="AD138" s="80">
        <f t="shared" si="63"/>
        <v>9345.25252334917</v>
      </c>
      <c r="AE138" s="80">
        <f t="shared" si="63"/>
        <v>8381.24506257803</v>
      </c>
      <c r="AF138" s="80">
        <f t="shared" si="63"/>
        <v>8494.52133523022</v>
      </c>
      <c r="AG138" s="80">
        <f t="shared" si="63"/>
        <v>7873.62026981771</v>
      </c>
      <c r="AH138" s="80">
        <f t="shared" si="63"/>
        <v>7903.11846643638</v>
      </c>
      <c r="AI138" s="80">
        <f t="shared" si="63"/>
        <v>9308.00005824267</v>
      </c>
      <c r="AJ138" s="80">
        <f t="shared" si="63"/>
        <v>9624.16636617449</v>
      </c>
      <c r="AK138" s="80">
        <f t="shared" si="63"/>
        <v>8842.82388988482</v>
      </c>
    </row>
    <row r="139" customHeight="1" spans="1:48">
      <c r="A139" s="78" t="s">
        <v>45</v>
      </c>
      <c r="B139" s="78">
        <f>B67+B76+B85+B94+B103+B112+B121+B130</f>
        <v>280000</v>
      </c>
      <c r="C139" s="82"/>
      <c r="D139" s="98"/>
      <c r="E139" s="86" t="s">
        <v>44</v>
      </c>
      <c r="F139" s="99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  <c r="AA139" s="90"/>
      <c r="AB139" s="90"/>
      <c r="AC139" s="90"/>
      <c r="AD139" s="90"/>
      <c r="AE139" s="90"/>
      <c r="AF139" s="90"/>
      <c r="AG139" s="90"/>
      <c r="AH139" s="90"/>
      <c r="AI139" s="90"/>
      <c r="AJ139" s="90"/>
      <c r="AK139" s="48"/>
    </row>
    <row r="140" ht="19.5" customHeight="1" spans="1:48">
      <c r="A140" s="78" t="s">
        <v>46</v>
      </c>
      <c r="B140" s="87">
        <f>B139/B137</f>
        <v>0.1</v>
      </c>
      <c r="C140" s="82"/>
      <c r="D140" s="98"/>
      <c r="E140" s="79" t="s">
        <v>85</v>
      </c>
      <c r="F140" s="100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  <c r="AD140" s="89"/>
      <c r="AE140" s="89"/>
      <c r="AF140" s="89"/>
      <c r="AG140" s="89"/>
      <c r="AH140" s="89"/>
      <c r="AI140" s="89"/>
      <c r="AJ140" s="89"/>
      <c r="AK140" s="40"/>
    </row>
    <row r="141" ht="19.5" customHeight="1" spans="1:48">
      <c r="A141" s="78"/>
      <c r="B141" s="87"/>
      <c r="C141" s="82"/>
      <c r="D141" s="98"/>
      <c r="E141" s="79" t="s">
        <v>86</v>
      </c>
      <c r="F141" s="100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  <c r="AD141" s="89"/>
      <c r="AE141" s="89"/>
      <c r="AF141" s="89"/>
      <c r="AG141" s="89"/>
      <c r="AH141" s="89"/>
      <c r="AI141" s="89"/>
      <c r="AJ141" s="89"/>
      <c r="AK141" s="40"/>
    </row>
    <row r="142" ht="19.5" customHeight="1" spans="1:48">
      <c r="A142" s="78"/>
      <c r="B142" s="78"/>
      <c r="C142" s="82"/>
      <c r="D142" s="98"/>
      <c r="E142" s="79" t="s">
        <v>43</v>
      </c>
      <c r="F142" s="101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  <c r="AA142" s="90"/>
      <c r="AB142" s="90"/>
      <c r="AC142" s="90"/>
      <c r="AD142" s="90"/>
      <c r="AE142" s="90"/>
      <c r="AF142" s="90"/>
      <c r="AG142" s="90"/>
      <c r="AH142" s="90"/>
      <c r="AI142" s="90"/>
      <c r="AJ142" s="90"/>
      <c r="AK142" s="48"/>
    </row>
    <row r="143" s="5" customFormat="1" customHeight="1" spans="1:48">
      <c r="A143" s="87"/>
      <c r="B143" s="87"/>
      <c r="C143" s="102"/>
      <c r="D143" s="103"/>
      <c r="E143" s="93" t="s">
        <v>47</v>
      </c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  <c r="AA143" s="101"/>
      <c r="AB143" s="101"/>
      <c r="AC143" s="101"/>
      <c r="AD143" s="101"/>
      <c r="AE143" s="101"/>
      <c r="AF143" s="101"/>
      <c r="AG143" s="101"/>
      <c r="AH143" s="101"/>
      <c r="AI143" s="101"/>
      <c r="AJ143" s="101"/>
      <c r="AK143" s="104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</row>
    <row r="144" ht="19.5" hidden="1" customHeight="1" spans="1:48">
      <c r="A144" s="105">
        <f>F145*F146</f>
        <v>64913.88</v>
      </c>
      <c r="B144" s="106"/>
      <c r="C144" s="107" t="s">
        <v>51</v>
      </c>
      <c r="D144" s="108" t="s">
        <v>91</v>
      </c>
      <c r="E144" s="109" t="s">
        <v>95</v>
      </c>
      <c r="F144" s="110">
        <f>SUM(G144:AK144)</f>
        <v>630</v>
      </c>
      <c r="G144" s="111">
        <v>31</v>
      </c>
      <c r="H144" s="111">
        <v>19</v>
      </c>
      <c r="I144" s="111">
        <v>25</v>
      </c>
      <c r="J144" s="111">
        <v>25</v>
      </c>
      <c r="K144" s="111">
        <v>19</v>
      </c>
      <c r="L144" s="111">
        <v>25</v>
      </c>
      <c r="M144" s="111">
        <v>22</v>
      </c>
      <c r="N144" s="111">
        <v>19</v>
      </c>
      <c r="O144" s="111">
        <v>22</v>
      </c>
      <c r="P144" s="111">
        <v>19</v>
      </c>
      <c r="Q144" s="111">
        <v>19</v>
      </c>
      <c r="R144" s="111">
        <v>19</v>
      </c>
      <c r="S144" s="111">
        <v>19</v>
      </c>
      <c r="T144" s="111">
        <v>25</v>
      </c>
      <c r="U144" s="111">
        <v>25</v>
      </c>
      <c r="V144" s="111">
        <v>31</v>
      </c>
      <c r="W144" s="111">
        <v>25</v>
      </c>
      <c r="X144" s="111">
        <v>37</v>
      </c>
      <c r="Y144" s="111">
        <v>19</v>
      </c>
      <c r="Z144" s="111">
        <v>25</v>
      </c>
      <c r="AA144" s="111">
        <v>16</v>
      </c>
      <c r="AB144" s="111">
        <v>16</v>
      </c>
      <c r="AC144" s="111">
        <v>16</v>
      </c>
      <c r="AD144" s="111">
        <v>16</v>
      </c>
      <c r="AE144" s="111">
        <v>16</v>
      </c>
      <c r="AF144" s="111">
        <v>16</v>
      </c>
      <c r="AG144" s="111">
        <v>16</v>
      </c>
      <c r="AH144" s="111">
        <v>16</v>
      </c>
      <c r="AI144" s="111">
        <v>16</v>
      </c>
      <c r="AJ144" s="111">
        <v>16</v>
      </c>
      <c r="AK144" s="111"/>
    </row>
    <row r="145" ht="19.5" hidden="1" customHeight="1" spans="1:37">
      <c r="A145" s="112">
        <f>A144/$A$208</f>
        <v>0.400314114635315</v>
      </c>
      <c r="B145" s="112">
        <f>F145/$F$209</f>
        <v>0.242295385174006</v>
      </c>
      <c r="C145" s="113"/>
      <c r="D145" s="39"/>
      <c r="E145" s="114" t="s">
        <v>41</v>
      </c>
      <c r="F145" s="110">
        <f>SUM(G145:AK145)</f>
        <v>170826</v>
      </c>
      <c r="G145" s="56">
        <v>8497</v>
      </c>
      <c r="H145" s="56">
        <v>5149</v>
      </c>
      <c r="I145" s="56">
        <v>6775</v>
      </c>
      <c r="J145" s="56">
        <v>6775</v>
      </c>
      <c r="K145" s="56">
        <v>5149</v>
      </c>
      <c r="L145" s="56">
        <v>6775</v>
      </c>
      <c r="M145" s="56">
        <v>5962</v>
      </c>
      <c r="N145" s="56">
        <v>5149</v>
      </c>
      <c r="O145" s="56">
        <v>5962</v>
      </c>
      <c r="P145" s="56">
        <v>5149</v>
      </c>
      <c r="Q145" s="56">
        <v>5149</v>
      </c>
      <c r="R145" s="56">
        <v>5149</v>
      </c>
      <c r="S145" s="56">
        <v>5149</v>
      </c>
      <c r="T145" s="56">
        <v>6775</v>
      </c>
      <c r="U145" s="56">
        <v>6775</v>
      </c>
      <c r="V145" s="56">
        <v>8401</v>
      </c>
      <c r="W145" s="56">
        <v>6775</v>
      </c>
      <c r="X145" s="56">
        <v>10027</v>
      </c>
      <c r="Y145" s="56">
        <v>5149</v>
      </c>
      <c r="Z145" s="56">
        <v>6775</v>
      </c>
      <c r="AA145" s="56">
        <v>4336</v>
      </c>
      <c r="AB145" s="56">
        <v>4336</v>
      </c>
      <c r="AC145" s="56">
        <v>4336</v>
      </c>
      <c r="AD145" s="56">
        <v>4336</v>
      </c>
      <c r="AE145" s="56">
        <v>4336</v>
      </c>
      <c r="AF145" s="56">
        <v>4336</v>
      </c>
      <c r="AG145" s="56">
        <v>4336</v>
      </c>
      <c r="AH145" s="56">
        <v>4336</v>
      </c>
      <c r="AI145" s="56">
        <v>4336</v>
      </c>
      <c r="AJ145" s="56">
        <v>4336</v>
      </c>
      <c r="AK145" s="56"/>
    </row>
    <row r="146" ht="19.5" hidden="1" customHeight="1" spans="1:37">
      <c r="A146" s="106"/>
      <c r="B146" s="106"/>
      <c r="C146" s="113"/>
      <c r="D146" s="39"/>
      <c r="E146" s="115" t="s">
        <v>46</v>
      </c>
      <c r="F146" s="116">
        <v>0.38</v>
      </c>
      <c r="G146" s="116">
        <v>0.38</v>
      </c>
      <c r="H146" s="116">
        <v>0.38</v>
      </c>
      <c r="I146" s="116">
        <v>0.38</v>
      </c>
      <c r="J146" s="116">
        <v>0.38</v>
      </c>
      <c r="K146" s="116">
        <v>0.38</v>
      </c>
      <c r="L146" s="116">
        <v>0.38</v>
      </c>
      <c r="M146" s="116">
        <v>0.38</v>
      </c>
      <c r="N146" s="116">
        <v>0.38</v>
      </c>
      <c r="O146" s="116">
        <v>0.38</v>
      </c>
      <c r="P146" s="116">
        <v>0.38</v>
      </c>
      <c r="Q146" s="116">
        <v>0.38</v>
      </c>
      <c r="R146" s="116">
        <v>0.38</v>
      </c>
      <c r="S146" s="116">
        <v>0.38</v>
      </c>
      <c r="T146" s="116">
        <v>0.38</v>
      </c>
      <c r="U146" s="116">
        <v>0.38</v>
      </c>
      <c r="V146" s="116">
        <v>0.39</v>
      </c>
      <c r="W146" s="116">
        <v>0.38</v>
      </c>
      <c r="X146" s="116">
        <v>0.39</v>
      </c>
      <c r="Y146" s="116">
        <v>0.38</v>
      </c>
      <c r="Z146" s="116">
        <v>0.38</v>
      </c>
      <c r="AA146" s="116">
        <v>0.38</v>
      </c>
      <c r="AB146" s="116">
        <v>0.38</v>
      </c>
      <c r="AC146" s="116">
        <v>0.38</v>
      </c>
      <c r="AD146" s="116">
        <v>0.38</v>
      </c>
      <c r="AE146" s="116">
        <v>0.38</v>
      </c>
      <c r="AF146" s="116">
        <v>0.38</v>
      </c>
      <c r="AG146" s="116">
        <v>0.38</v>
      </c>
      <c r="AH146" s="116">
        <v>0.38</v>
      </c>
      <c r="AI146" s="116">
        <v>0.38</v>
      </c>
      <c r="AJ146" s="116">
        <v>0.38</v>
      </c>
      <c r="AK146" s="116"/>
    </row>
    <row r="147" ht="19.5" hidden="1" customHeight="1" spans="1:37">
      <c r="A147" s="106"/>
      <c r="B147" s="106"/>
      <c r="C147" s="113"/>
      <c r="D147" s="39"/>
      <c r="E147" s="114" t="s">
        <v>85</v>
      </c>
      <c r="F147" s="42" t="e">
        <f>SUM(G147:AK147)</f>
        <v>#REF!</v>
      </c>
      <c r="G147" s="117" t="e">
        <f>SUMIFS(#REF!,#REF!,$C$144&amp;G62)</f>
        <v>#REF!</v>
      </c>
      <c r="H147" s="117" t="e">
        <f>SUMIFS(#REF!,#REF!,$C$144&amp;H62)</f>
        <v>#REF!</v>
      </c>
      <c r="I147" s="117" t="e">
        <f>SUMIFS(#REF!,#REF!,$C$144&amp;I62)</f>
        <v>#REF!</v>
      </c>
      <c r="J147" s="117" t="e">
        <f>SUMIFS(#REF!,#REF!,$C$144&amp;J62)</f>
        <v>#REF!</v>
      </c>
      <c r="K147" s="117" t="e">
        <f>SUMIFS(#REF!,#REF!,$C$144&amp;K62)</f>
        <v>#REF!</v>
      </c>
      <c r="L147" s="117" t="e">
        <f>SUMIFS(#REF!,#REF!,$C$144&amp;L62)</f>
        <v>#REF!</v>
      </c>
      <c r="M147" s="117" t="e">
        <f>SUMIFS(#REF!,#REF!,$C$144&amp;M62)</f>
        <v>#REF!</v>
      </c>
      <c r="N147" s="117" t="e">
        <f>SUMIFS(#REF!,#REF!,$C$144&amp;N62)</f>
        <v>#REF!</v>
      </c>
      <c r="O147" s="117" t="e">
        <f>SUMIFS(#REF!,#REF!,$C$144&amp;O62)</f>
        <v>#REF!</v>
      </c>
      <c r="P147" s="117" t="e">
        <f>SUMIFS(#REF!,#REF!,$C$144&amp;P62)</f>
        <v>#REF!</v>
      </c>
      <c r="Q147" s="117" t="e">
        <f>SUMIFS(#REF!,#REF!,$C$144&amp;Q62)</f>
        <v>#REF!</v>
      </c>
      <c r="R147" s="117" t="e">
        <f>SUMIFS(#REF!,#REF!,$C$144&amp;R62)</f>
        <v>#REF!</v>
      </c>
      <c r="S147" s="117" t="e">
        <f>SUMIFS(#REF!,#REF!,$C$144&amp;S62)</f>
        <v>#REF!</v>
      </c>
      <c r="T147" s="117" t="e">
        <f>SUMIFS(#REF!,#REF!,$C$144&amp;T62)</f>
        <v>#REF!</v>
      </c>
      <c r="U147" s="117" t="e">
        <f>SUMIFS(#REF!,#REF!,$C$144&amp;U62)</f>
        <v>#REF!</v>
      </c>
      <c r="V147" s="117" t="e">
        <f>SUMIFS(#REF!,#REF!,$C$144&amp;V62)</f>
        <v>#REF!</v>
      </c>
      <c r="W147" s="117" t="e">
        <f>SUMIFS(#REF!,#REF!,$C$144&amp;W62)</f>
        <v>#REF!</v>
      </c>
      <c r="X147" s="117" t="e">
        <f>SUMIFS(#REF!,#REF!,$C$144&amp;X62)</f>
        <v>#REF!</v>
      </c>
      <c r="Y147" s="117" t="e">
        <f>SUMIFS(#REF!,#REF!,$C$144&amp;Y62)</f>
        <v>#REF!</v>
      </c>
      <c r="Z147" s="117" t="e">
        <f>SUMIFS(#REF!,#REF!,$C$144&amp;Z62)</f>
        <v>#REF!</v>
      </c>
      <c r="AA147" s="117" t="e">
        <f>SUMIFS(#REF!,#REF!,$C$144&amp;AA62)</f>
        <v>#REF!</v>
      </c>
      <c r="AB147" s="117" t="e">
        <f>SUMIFS(#REF!,#REF!,$C$144&amp;AB62)</f>
        <v>#REF!</v>
      </c>
      <c r="AC147" s="117" t="e">
        <f>SUMIFS(#REF!,#REF!,$C$144&amp;AC62)</f>
        <v>#REF!</v>
      </c>
      <c r="AD147" s="117" t="e">
        <f>SUMIFS(#REF!,#REF!,$C$144&amp;AD62)</f>
        <v>#REF!</v>
      </c>
      <c r="AE147" s="117" t="e">
        <f>SUMIFS(#REF!,#REF!,$C$144&amp;AE62)</f>
        <v>#REF!</v>
      </c>
      <c r="AF147" s="117" t="e">
        <f>SUMIFS(#REF!,#REF!,$C$144&amp;AF62)</f>
        <v>#REF!</v>
      </c>
      <c r="AG147" s="117" t="e">
        <f>SUMIFS(#REF!,#REF!,$C$144&amp;AG62)</f>
        <v>#REF!</v>
      </c>
      <c r="AH147" s="117" t="e">
        <f>SUMIFS(#REF!,#REF!,$C$144&amp;AH62)</f>
        <v>#REF!</v>
      </c>
      <c r="AI147" s="117" t="e">
        <f>SUMIFS(#REF!,#REF!,$C$144&amp;AI62)</f>
        <v>#REF!</v>
      </c>
      <c r="AJ147" s="117" t="e">
        <f>SUMIFS(#REF!,#REF!,$C$144&amp;AJ62)</f>
        <v>#REF!</v>
      </c>
      <c r="AK147" s="56"/>
    </row>
    <row r="148" ht="19.5" hidden="1" customHeight="1" spans="1:37">
      <c r="A148" s="106"/>
      <c r="B148" s="112" t="e">
        <f>F148/$F$212</f>
        <v>#REF!</v>
      </c>
      <c r="C148" s="113"/>
      <c r="D148" s="39"/>
      <c r="E148" s="114" t="s">
        <v>86</v>
      </c>
      <c r="F148" s="42" t="e">
        <f>SUM(G148:AK148)</f>
        <v>#REF!</v>
      </c>
      <c r="G148" s="117" t="e">
        <f>SUMIFS(#REF!,#REF!,$C$144&amp;G62)</f>
        <v>#REF!</v>
      </c>
      <c r="H148" s="117" t="e">
        <f>SUMIFS(#REF!,#REF!,$C$144&amp;H62)</f>
        <v>#REF!</v>
      </c>
      <c r="I148" s="117" t="e">
        <f>SUMIFS(#REF!,#REF!,$C$144&amp;I62)</f>
        <v>#REF!</v>
      </c>
      <c r="J148" s="117" t="e">
        <f>SUMIFS(#REF!,#REF!,$C$144&amp;J62)</f>
        <v>#REF!</v>
      </c>
      <c r="K148" s="117" t="e">
        <f>SUMIFS(#REF!,#REF!,$C$144&amp;K62)</f>
        <v>#REF!</v>
      </c>
      <c r="L148" s="117" t="e">
        <f>SUMIFS(#REF!,#REF!,$C$144&amp;L62)</f>
        <v>#REF!</v>
      </c>
      <c r="M148" s="117" t="e">
        <f>SUMIFS(#REF!,#REF!,$C$144&amp;M62)</f>
        <v>#REF!</v>
      </c>
      <c r="N148" s="117" t="e">
        <f>SUMIFS(#REF!,#REF!,$C$144&amp;N62)</f>
        <v>#REF!</v>
      </c>
      <c r="O148" s="117" t="e">
        <f>SUMIFS(#REF!,#REF!,$C$144&amp;O62)</f>
        <v>#REF!</v>
      </c>
      <c r="P148" s="117" t="e">
        <f>SUMIFS(#REF!,#REF!,$C$144&amp;P62)</f>
        <v>#REF!</v>
      </c>
      <c r="Q148" s="117" t="e">
        <f>SUMIFS(#REF!,#REF!,$C$144&amp;Q62)</f>
        <v>#REF!</v>
      </c>
      <c r="R148" s="117" t="e">
        <f>SUMIFS(#REF!,#REF!,$C$144&amp;R62)</f>
        <v>#REF!</v>
      </c>
      <c r="S148" s="117" t="e">
        <f>SUMIFS(#REF!,#REF!,$C$144&amp;S62)</f>
        <v>#REF!</v>
      </c>
      <c r="T148" s="117" t="e">
        <f>SUMIFS(#REF!,#REF!,$C$144&amp;T62)</f>
        <v>#REF!</v>
      </c>
      <c r="U148" s="117" t="e">
        <f>SUMIFS(#REF!,#REF!,$C$144&amp;U62)</f>
        <v>#REF!</v>
      </c>
      <c r="V148" s="117" t="e">
        <f>SUMIFS(#REF!,#REF!,$C$144&amp;V62)</f>
        <v>#REF!</v>
      </c>
      <c r="W148" s="117" t="e">
        <f>SUMIFS(#REF!,#REF!,$C$144&amp;W62)</f>
        <v>#REF!</v>
      </c>
      <c r="X148" s="117" t="e">
        <f>SUMIFS(#REF!,#REF!,$C$144&amp;X62)</f>
        <v>#REF!</v>
      </c>
      <c r="Y148" s="117" t="e">
        <f>SUMIFS(#REF!,#REF!,$C$144&amp;Y62)</f>
        <v>#REF!</v>
      </c>
      <c r="Z148" s="117" t="e">
        <f>SUMIFS(#REF!,#REF!,$C$144&amp;Z62)</f>
        <v>#REF!</v>
      </c>
      <c r="AA148" s="117" t="e">
        <f>SUMIFS(#REF!,#REF!,$C$144&amp;AA62)</f>
        <v>#REF!</v>
      </c>
      <c r="AB148" s="117" t="e">
        <f>SUMIFS(#REF!,#REF!,$C$144&amp;AB62)</f>
        <v>#REF!</v>
      </c>
      <c r="AC148" s="117" t="e">
        <f>SUMIFS(#REF!,#REF!,$C$144&amp;AC62)</f>
        <v>#REF!</v>
      </c>
      <c r="AD148" s="117" t="e">
        <f>SUMIFS(#REF!,#REF!,$C$144&amp;AD62)</f>
        <v>#REF!</v>
      </c>
      <c r="AE148" s="117" t="e">
        <f>SUMIFS(#REF!,#REF!,$C$144&amp;AE62)</f>
        <v>#REF!</v>
      </c>
      <c r="AF148" s="117" t="e">
        <f>SUMIFS(#REF!,#REF!,$C$144&amp;AF62)</f>
        <v>#REF!</v>
      </c>
      <c r="AG148" s="117" t="e">
        <f>SUMIFS(#REF!,#REF!,$C$144&amp;AG62)</f>
        <v>#REF!</v>
      </c>
      <c r="AH148" s="117" t="e">
        <f>SUMIFS(#REF!,#REF!,$C$144&amp;AH62)</f>
        <v>#REF!</v>
      </c>
      <c r="AI148" s="117" t="e">
        <f>SUMIFS(#REF!,#REF!,$C$144&amp;AI62)</f>
        <v>#REF!</v>
      </c>
      <c r="AJ148" s="117" t="e">
        <f>SUMIFS(#REF!,#REF!,$C$144&amp;AJ62)</f>
        <v>#REF!</v>
      </c>
      <c r="AK148" s="56"/>
    </row>
    <row r="149" ht="19.5" hidden="1" customHeight="1" spans="1:37">
      <c r="A149" s="106"/>
      <c r="B149" s="106"/>
      <c r="C149" s="113"/>
      <c r="D149" s="39"/>
      <c r="E149" s="114" t="s">
        <v>43</v>
      </c>
      <c r="F149" s="118" t="e">
        <f t="shared" ref="F149:AJ149" si="64">F148/F145</f>
        <v>#REF!</v>
      </c>
      <c r="G149" s="119" t="e">
        <f t="shared" si="64"/>
        <v>#REF!</v>
      </c>
      <c r="H149" s="119" t="e">
        <f t="shared" si="64"/>
        <v>#REF!</v>
      </c>
      <c r="I149" s="119" t="e">
        <f t="shared" si="64"/>
        <v>#REF!</v>
      </c>
      <c r="J149" s="119" t="e">
        <f t="shared" si="64"/>
        <v>#REF!</v>
      </c>
      <c r="K149" s="119" t="e">
        <f t="shared" si="64"/>
        <v>#REF!</v>
      </c>
      <c r="L149" s="119" t="e">
        <f t="shared" si="64"/>
        <v>#REF!</v>
      </c>
      <c r="M149" s="119" t="e">
        <f t="shared" si="64"/>
        <v>#REF!</v>
      </c>
      <c r="N149" s="119" t="e">
        <f t="shared" si="64"/>
        <v>#REF!</v>
      </c>
      <c r="O149" s="119" t="e">
        <f t="shared" si="64"/>
        <v>#REF!</v>
      </c>
      <c r="P149" s="119" t="e">
        <f t="shared" si="64"/>
        <v>#REF!</v>
      </c>
      <c r="Q149" s="119" t="e">
        <f t="shared" si="64"/>
        <v>#REF!</v>
      </c>
      <c r="R149" s="119" t="e">
        <f t="shared" si="64"/>
        <v>#REF!</v>
      </c>
      <c r="S149" s="119" t="e">
        <f t="shared" si="64"/>
        <v>#REF!</v>
      </c>
      <c r="T149" s="119" t="e">
        <f t="shared" si="64"/>
        <v>#REF!</v>
      </c>
      <c r="U149" s="119" t="e">
        <f t="shared" si="64"/>
        <v>#REF!</v>
      </c>
      <c r="V149" s="119" t="e">
        <f t="shared" si="64"/>
        <v>#REF!</v>
      </c>
      <c r="W149" s="119" t="e">
        <f t="shared" si="64"/>
        <v>#REF!</v>
      </c>
      <c r="X149" s="119" t="e">
        <f t="shared" si="64"/>
        <v>#REF!</v>
      </c>
      <c r="Y149" s="119" t="e">
        <f t="shared" si="64"/>
        <v>#REF!</v>
      </c>
      <c r="Z149" s="119" t="e">
        <f t="shared" si="64"/>
        <v>#REF!</v>
      </c>
      <c r="AA149" s="119" t="e">
        <f t="shared" si="64"/>
        <v>#REF!</v>
      </c>
      <c r="AB149" s="119" t="e">
        <f t="shared" si="64"/>
        <v>#REF!</v>
      </c>
      <c r="AC149" s="119" t="e">
        <f t="shared" si="64"/>
        <v>#REF!</v>
      </c>
      <c r="AD149" s="119" t="e">
        <f t="shared" si="64"/>
        <v>#REF!</v>
      </c>
      <c r="AE149" s="119" t="e">
        <f t="shared" si="64"/>
        <v>#REF!</v>
      </c>
      <c r="AF149" s="119" t="e">
        <f t="shared" si="64"/>
        <v>#REF!</v>
      </c>
      <c r="AG149" s="119" t="e">
        <f t="shared" si="64"/>
        <v>#REF!</v>
      </c>
      <c r="AH149" s="119" t="e">
        <f t="shared" si="64"/>
        <v>#REF!</v>
      </c>
      <c r="AI149" s="119" t="e">
        <f t="shared" si="64"/>
        <v>#REF!</v>
      </c>
      <c r="AJ149" s="119" t="e">
        <f t="shared" si="64"/>
        <v>#REF!</v>
      </c>
      <c r="AK149" s="119"/>
    </row>
    <row r="150" ht="19.5" hidden="1" customHeight="1" spans="1:37">
      <c r="A150" s="106"/>
      <c r="B150" s="106"/>
      <c r="C150" s="113"/>
      <c r="D150" s="39"/>
      <c r="E150" s="114" t="s">
        <v>47</v>
      </c>
      <c r="F150" s="104">
        <f t="shared" ref="F150:AJ150" si="65">IFERROR(I357/F148,0)</f>
        <v>0</v>
      </c>
      <c r="G150" s="104">
        <f t="shared" si="65"/>
        <v>0</v>
      </c>
      <c r="H150" s="104">
        <f t="shared" si="65"/>
        <v>0</v>
      </c>
      <c r="I150" s="104">
        <f t="shared" si="65"/>
        <v>0</v>
      </c>
      <c r="J150" s="104">
        <f t="shared" si="65"/>
        <v>0</v>
      </c>
      <c r="K150" s="104">
        <f t="shared" si="65"/>
        <v>0</v>
      </c>
      <c r="L150" s="104">
        <f t="shared" si="65"/>
        <v>0</v>
      </c>
      <c r="M150" s="104">
        <f t="shared" si="65"/>
        <v>0</v>
      </c>
      <c r="N150" s="104">
        <f t="shared" si="65"/>
        <v>0</v>
      </c>
      <c r="O150" s="104">
        <f t="shared" si="65"/>
        <v>0</v>
      </c>
      <c r="P150" s="104">
        <f t="shared" si="65"/>
        <v>0</v>
      </c>
      <c r="Q150" s="104">
        <f t="shared" si="65"/>
        <v>0</v>
      </c>
      <c r="R150" s="104">
        <f t="shared" si="65"/>
        <v>0</v>
      </c>
      <c r="S150" s="104">
        <f t="shared" si="65"/>
        <v>0</v>
      </c>
      <c r="T150" s="104">
        <f t="shared" si="65"/>
        <v>0</v>
      </c>
      <c r="U150" s="104">
        <f t="shared" si="65"/>
        <v>0</v>
      </c>
      <c r="V150" s="104">
        <f t="shared" si="65"/>
        <v>0</v>
      </c>
      <c r="W150" s="104">
        <f t="shared" si="65"/>
        <v>0</v>
      </c>
      <c r="X150" s="104">
        <f t="shared" si="65"/>
        <v>0</v>
      </c>
      <c r="Y150" s="104">
        <f t="shared" si="65"/>
        <v>0</v>
      </c>
      <c r="Z150" s="104">
        <f t="shared" si="65"/>
        <v>0</v>
      </c>
      <c r="AA150" s="104">
        <f t="shared" si="65"/>
        <v>0</v>
      </c>
      <c r="AB150" s="104">
        <f t="shared" si="65"/>
        <v>0</v>
      </c>
      <c r="AC150" s="104">
        <f t="shared" si="65"/>
        <v>0</v>
      </c>
      <c r="AD150" s="104">
        <f t="shared" si="65"/>
        <v>0</v>
      </c>
      <c r="AE150" s="104">
        <f t="shared" si="65"/>
        <v>0</v>
      </c>
      <c r="AF150" s="104">
        <f t="shared" si="65"/>
        <v>0</v>
      </c>
      <c r="AG150" s="104">
        <f t="shared" si="65"/>
        <v>0</v>
      </c>
      <c r="AH150" s="104">
        <f t="shared" si="65"/>
        <v>0</v>
      </c>
      <c r="AI150" s="104">
        <f t="shared" si="65"/>
        <v>0</v>
      </c>
      <c r="AJ150" s="104">
        <f t="shared" si="65"/>
        <v>0</v>
      </c>
      <c r="AK150" s="48"/>
    </row>
    <row r="151" ht="19.5" hidden="1" customHeight="1" spans="1:37">
      <c r="A151" s="105">
        <f>F152*F153</f>
        <v>0</v>
      </c>
      <c r="B151" s="106"/>
      <c r="C151" s="113"/>
      <c r="D151" s="108" t="s">
        <v>90</v>
      </c>
      <c r="E151" s="115" t="s">
        <v>82</v>
      </c>
      <c r="F151" s="110">
        <f>SUM(G151:AK151)</f>
        <v>212</v>
      </c>
      <c r="G151" s="111">
        <v>11</v>
      </c>
      <c r="H151" s="111">
        <v>6</v>
      </c>
      <c r="I151" s="111">
        <v>9</v>
      </c>
      <c r="J151" s="111">
        <v>9</v>
      </c>
      <c r="K151" s="111">
        <v>6</v>
      </c>
      <c r="L151" s="111">
        <v>9</v>
      </c>
      <c r="M151" s="111">
        <v>8</v>
      </c>
      <c r="N151" s="111">
        <v>6</v>
      </c>
      <c r="O151" s="111">
        <v>8</v>
      </c>
      <c r="P151" s="111">
        <v>6</v>
      </c>
      <c r="Q151" s="111">
        <v>6</v>
      </c>
      <c r="R151" s="111">
        <v>6</v>
      </c>
      <c r="S151" s="111">
        <v>6</v>
      </c>
      <c r="T151" s="111">
        <v>9</v>
      </c>
      <c r="U151" s="111">
        <v>9</v>
      </c>
      <c r="V151" s="111">
        <v>11</v>
      </c>
      <c r="W151" s="111">
        <v>9</v>
      </c>
      <c r="X151" s="111">
        <v>13</v>
      </c>
      <c r="Y151" s="111">
        <v>6</v>
      </c>
      <c r="Z151" s="111">
        <v>9</v>
      </c>
      <c r="AA151" s="111">
        <v>5</v>
      </c>
      <c r="AB151" s="111">
        <v>5</v>
      </c>
      <c r="AC151" s="111">
        <v>5</v>
      </c>
      <c r="AD151" s="111">
        <v>5</v>
      </c>
      <c r="AE151" s="111">
        <v>5</v>
      </c>
      <c r="AF151" s="111">
        <v>5</v>
      </c>
      <c r="AG151" s="111">
        <v>5</v>
      </c>
      <c r="AH151" s="111">
        <v>5</v>
      </c>
      <c r="AI151" s="111">
        <v>5</v>
      </c>
      <c r="AJ151" s="111">
        <v>5</v>
      </c>
      <c r="AK151" s="111"/>
    </row>
    <row r="152" ht="19.5" hidden="1" customHeight="1" spans="1:37">
      <c r="A152" s="112">
        <f>A151/$A$208</f>
        <v>0</v>
      </c>
      <c r="B152" s="112">
        <f>F152/$F$209</f>
        <v>0.10043232080246</v>
      </c>
      <c r="C152" s="113"/>
      <c r="D152" s="39"/>
      <c r="E152" s="114" t="s">
        <v>41</v>
      </c>
      <c r="F152" s="110">
        <f>SUM(G152:AK152)</f>
        <v>70808</v>
      </c>
      <c r="G152" s="56">
        <v>3674</v>
      </c>
      <c r="H152" s="56">
        <v>2004</v>
      </c>
      <c r="I152" s="56">
        <v>3006</v>
      </c>
      <c r="J152" s="56">
        <v>3006</v>
      </c>
      <c r="K152" s="56">
        <v>2004</v>
      </c>
      <c r="L152" s="56">
        <v>3006</v>
      </c>
      <c r="M152" s="56">
        <v>2672</v>
      </c>
      <c r="N152" s="56">
        <v>2004</v>
      </c>
      <c r="O152" s="56">
        <v>2672</v>
      </c>
      <c r="P152" s="56">
        <v>2004</v>
      </c>
      <c r="Q152" s="56">
        <v>2004</v>
      </c>
      <c r="R152" s="56">
        <v>2004</v>
      </c>
      <c r="S152" s="56">
        <v>2004</v>
      </c>
      <c r="T152" s="56">
        <v>3006</v>
      </c>
      <c r="U152" s="56">
        <v>3006</v>
      </c>
      <c r="V152" s="56">
        <v>3674</v>
      </c>
      <c r="W152" s="56">
        <v>3006</v>
      </c>
      <c r="X152" s="56">
        <v>4342</v>
      </c>
      <c r="Y152" s="56">
        <v>2004</v>
      </c>
      <c r="Z152" s="56">
        <v>3006</v>
      </c>
      <c r="AA152" s="56">
        <v>1670</v>
      </c>
      <c r="AB152" s="56">
        <v>1670</v>
      </c>
      <c r="AC152" s="56">
        <v>1670</v>
      </c>
      <c r="AD152" s="56">
        <v>1670</v>
      </c>
      <c r="AE152" s="56">
        <v>1670</v>
      </c>
      <c r="AF152" s="56">
        <v>1670</v>
      </c>
      <c r="AG152" s="56">
        <v>1670</v>
      </c>
      <c r="AH152" s="56">
        <v>1670</v>
      </c>
      <c r="AI152" s="56">
        <v>1670</v>
      </c>
      <c r="AJ152" s="56">
        <v>1670</v>
      </c>
      <c r="AK152" s="56"/>
    </row>
    <row r="153" ht="19.5" hidden="1" customHeight="1" spans="1:37">
      <c r="A153" s="106"/>
      <c r="B153" s="106"/>
      <c r="C153" s="113"/>
      <c r="D153" s="39"/>
      <c r="E153" s="115" t="s">
        <v>46</v>
      </c>
      <c r="F153" s="120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  <c r="X153" s="116"/>
      <c r="Y153" s="116"/>
      <c r="Z153" s="116"/>
      <c r="AA153" s="116"/>
      <c r="AB153" s="116"/>
      <c r="AC153" s="116"/>
      <c r="AD153" s="116"/>
      <c r="AE153" s="116"/>
      <c r="AF153" s="116"/>
      <c r="AG153" s="116"/>
      <c r="AH153" s="116"/>
      <c r="AI153" s="116"/>
      <c r="AJ153" s="116"/>
      <c r="AK153" s="116"/>
    </row>
    <row r="154" ht="19.5" hidden="1" customHeight="1" spans="1:37">
      <c r="A154" s="106"/>
      <c r="B154" s="106"/>
      <c r="C154" s="113"/>
      <c r="D154" s="39"/>
      <c r="E154" s="114" t="s">
        <v>85</v>
      </c>
      <c r="F154" s="42" t="e">
        <f>SUM(G154:AK154)</f>
        <v>#REF!</v>
      </c>
      <c r="G154" s="117" t="e">
        <f>SUMIFS(#REF!,#REF!,$C$144&amp;G62)</f>
        <v>#REF!</v>
      </c>
      <c r="H154" s="117" t="e">
        <f>SUMIFS(#REF!,#REF!,$C$144&amp;H62)</f>
        <v>#REF!</v>
      </c>
      <c r="I154" s="117" t="e">
        <f>SUMIFS(#REF!,#REF!,$C$144&amp;I62)</f>
        <v>#REF!</v>
      </c>
      <c r="J154" s="117" t="e">
        <f>SUMIFS(#REF!,#REF!,$C$144&amp;J62)</f>
        <v>#REF!</v>
      </c>
      <c r="K154" s="117" t="e">
        <f>SUMIFS(#REF!,#REF!,$C$144&amp;K62)</f>
        <v>#REF!</v>
      </c>
      <c r="L154" s="117" t="e">
        <f>SUMIFS(#REF!,#REF!,$C$144&amp;L62)</f>
        <v>#REF!</v>
      </c>
      <c r="M154" s="117" t="e">
        <f>SUMIFS(#REF!,#REF!,$C$144&amp;M62)</f>
        <v>#REF!</v>
      </c>
      <c r="N154" s="117" t="e">
        <f>SUMIFS(#REF!,#REF!,$C$144&amp;N62)</f>
        <v>#REF!</v>
      </c>
      <c r="O154" s="117" t="e">
        <f>SUMIFS(#REF!,#REF!,$C$144&amp;O62)</f>
        <v>#REF!</v>
      </c>
      <c r="P154" s="117" t="e">
        <f>SUMIFS(#REF!,#REF!,$C$144&amp;P62)</f>
        <v>#REF!</v>
      </c>
      <c r="Q154" s="117" t="e">
        <f>SUMIFS(#REF!,#REF!,$C$144&amp;Q62)</f>
        <v>#REF!</v>
      </c>
      <c r="R154" s="117" t="e">
        <f>SUMIFS(#REF!,#REF!,$C$144&amp;R62)</f>
        <v>#REF!</v>
      </c>
      <c r="S154" s="117" t="e">
        <f>SUMIFS(#REF!,#REF!,$C$144&amp;S62)</f>
        <v>#REF!</v>
      </c>
      <c r="T154" s="117" t="e">
        <f>SUMIFS(#REF!,#REF!,$C$144&amp;T62)</f>
        <v>#REF!</v>
      </c>
      <c r="U154" s="117" t="e">
        <f>SUMIFS(#REF!,#REF!,$C$144&amp;U62)</f>
        <v>#REF!</v>
      </c>
      <c r="V154" s="117" t="e">
        <f>SUMIFS(#REF!,#REF!,$C$144&amp;V62)</f>
        <v>#REF!</v>
      </c>
      <c r="W154" s="117" t="e">
        <f>SUMIFS(#REF!,#REF!,$C$144&amp;W62)</f>
        <v>#REF!</v>
      </c>
      <c r="X154" s="117" t="e">
        <f>SUMIFS(#REF!,#REF!,$C$144&amp;X62)</f>
        <v>#REF!</v>
      </c>
      <c r="Y154" s="117" t="e">
        <f>SUMIFS(#REF!,#REF!,$C$144&amp;Y62)</f>
        <v>#REF!</v>
      </c>
      <c r="Z154" s="117" t="e">
        <f>SUMIFS(#REF!,#REF!,$C$144&amp;Z62)</f>
        <v>#REF!</v>
      </c>
      <c r="AA154" s="117" t="e">
        <f>SUMIFS(#REF!,#REF!,$C$144&amp;AA62)</f>
        <v>#REF!</v>
      </c>
      <c r="AB154" s="117" t="e">
        <f>SUMIFS(#REF!,#REF!,$C$144&amp;AB62)</f>
        <v>#REF!</v>
      </c>
      <c r="AC154" s="117" t="e">
        <f>SUMIFS(#REF!,#REF!,$C$144&amp;AC62)</f>
        <v>#REF!</v>
      </c>
      <c r="AD154" s="117" t="e">
        <f>SUMIFS(#REF!,#REF!,$C$144&amp;AD62)</f>
        <v>#REF!</v>
      </c>
      <c r="AE154" s="117" t="e">
        <f>SUMIFS(#REF!,#REF!,$C$144&amp;AE62)</f>
        <v>#REF!</v>
      </c>
      <c r="AF154" s="117" t="e">
        <f>SUMIFS(#REF!,#REF!,$C$144&amp;AF62)</f>
        <v>#REF!</v>
      </c>
      <c r="AG154" s="117" t="e">
        <f>SUMIFS(#REF!,#REF!,$C$144&amp;AG62)</f>
        <v>#REF!</v>
      </c>
      <c r="AH154" s="117" t="e">
        <f>SUMIFS(#REF!,#REF!,$C$144&amp;AH62)</f>
        <v>#REF!</v>
      </c>
      <c r="AI154" s="117" t="e">
        <f>SUMIFS(#REF!,#REF!,$C$144&amp;AI62)</f>
        <v>#REF!</v>
      </c>
      <c r="AJ154" s="117" t="e">
        <f>SUMIFS(#REF!,#REF!,$C$144&amp;AJ62)</f>
        <v>#REF!</v>
      </c>
      <c r="AK154" s="56"/>
    </row>
    <row r="155" ht="19.5" hidden="1" customHeight="1" spans="1:37">
      <c r="A155" s="106"/>
      <c r="B155" s="112" t="e">
        <f>F155/$F$212</f>
        <v>#REF!</v>
      </c>
      <c r="C155" s="113"/>
      <c r="D155" s="39"/>
      <c r="E155" s="114" t="s">
        <v>86</v>
      </c>
      <c r="F155" s="121" t="e">
        <f>SUM(G155:AK155)</f>
        <v>#REF!</v>
      </c>
      <c r="G155" s="117" t="e">
        <f>SUMIFS(#REF!,#REF!,$C$144&amp;G62)</f>
        <v>#REF!</v>
      </c>
      <c r="H155" s="117" t="e">
        <f>SUMIFS(#REF!,#REF!,$C$144&amp;H62)</f>
        <v>#REF!</v>
      </c>
      <c r="I155" s="117" t="e">
        <f>SUMIFS(#REF!,#REF!,$C$144&amp;I62)</f>
        <v>#REF!</v>
      </c>
      <c r="J155" s="117" t="e">
        <f>SUMIFS(#REF!,#REF!,$C$144&amp;J62)</f>
        <v>#REF!</v>
      </c>
      <c r="K155" s="117" t="e">
        <f>SUMIFS(#REF!,#REF!,$C$144&amp;K62)</f>
        <v>#REF!</v>
      </c>
      <c r="L155" s="117" t="e">
        <f>SUMIFS(#REF!,#REF!,$C$144&amp;L62)</f>
        <v>#REF!</v>
      </c>
      <c r="M155" s="117" t="e">
        <f>SUMIFS(#REF!,#REF!,$C$144&amp;M62)</f>
        <v>#REF!</v>
      </c>
      <c r="N155" s="117" t="e">
        <f>SUMIFS(#REF!,#REF!,$C$144&amp;N62)</f>
        <v>#REF!</v>
      </c>
      <c r="O155" s="117" t="e">
        <f>SUMIFS(#REF!,#REF!,$C$144&amp;O62)</f>
        <v>#REF!</v>
      </c>
      <c r="P155" s="117" t="e">
        <f>SUMIFS(#REF!,#REF!,$C$144&amp;P62)</f>
        <v>#REF!</v>
      </c>
      <c r="Q155" s="117" t="e">
        <f>SUMIFS(#REF!,#REF!,$C$144&amp;Q62)</f>
        <v>#REF!</v>
      </c>
      <c r="R155" s="117" t="e">
        <f>SUMIFS(#REF!,#REF!,$C$144&amp;R62)</f>
        <v>#REF!</v>
      </c>
      <c r="S155" s="117" t="e">
        <f>SUMIFS(#REF!,#REF!,$C$144&amp;S62)</f>
        <v>#REF!</v>
      </c>
      <c r="T155" s="117" t="e">
        <f>SUMIFS(#REF!,#REF!,$C$144&amp;T62)</f>
        <v>#REF!</v>
      </c>
      <c r="U155" s="117" t="e">
        <f>SUMIFS(#REF!,#REF!,$C$144&amp;U62)</f>
        <v>#REF!</v>
      </c>
      <c r="V155" s="117" t="e">
        <f>SUMIFS(#REF!,#REF!,$C$144&amp;V62)</f>
        <v>#REF!</v>
      </c>
      <c r="W155" s="117" t="e">
        <f>SUMIFS(#REF!,#REF!,$C$144&amp;W62)</f>
        <v>#REF!</v>
      </c>
      <c r="X155" s="117" t="e">
        <f>SUMIFS(#REF!,#REF!,$C$144&amp;X62)</f>
        <v>#REF!</v>
      </c>
      <c r="Y155" s="117" t="e">
        <f>SUMIFS(#REF!,#REF!,$C$144&amp;Y62)</f>
        <v>#REF!</v>
      </c>
      <c r="Z155" s="117" t="e">
        <f>SUMIFS(#REF!,#REF!,$C$144&amp;Z62)</f>
        <v>#REF!</v>
      </c>
      <c r="AA155" s="117" t="e">
        <f>SUMIFS(#REF!,#REF!,$C$144&amp;AA62)</f>
        <v>#REF!</v>
      </c>
      <c r="AB155" s="117" t="e">
        <f>SUMIFS(#REF!,#REF!,$C$144&amp;AB62)</f>
        <v>#REF!</v>
      </c>
      <c r="AC155" s="117" t="e">
        <f>SUMIFS(#REF!,#REF!,$C$144&amp;AC62)</f>
        <v>#REF!</v>
      </c>
      <c r="AD155" s="117" t="e">
        <f>SUMIFS(#REF!,#REF!,$C$144&amp;AD62)</f>
        <v>#REF!</v>
      </c>
      <c r="AE155" s="117" t="e">
        <f>SUMIFS(#REF!,#REF!,$C$144&amp;AE62)</f>
        <v>#REF!</v>
      </c>
      <c r="AF155" s="117" t="e">
        <f>SUMIFS(#REF!,#REF!,$C$144&amp;AF62)</f>
        <v>#REF!</v>
      </c>
      <c r="AG155" s="117" t="e">
        <f>SUMIFS(#REF!,#REF!,$C$144&amp;AG62)</f>
        <v>#REF!</v>
      </c>
      <c r="AH155" s="117" t="e">
        <f>SUMIFS(#REF!,#REF!,$C$144&amp;AH62)</f>
        <v>#REF!</v>
      </c>
      <c r="AI155" s="117" t="e">
        <f>SUMIFS(#REF!,#REF!,$C$144&amp;AI62)</f>
        <v>#REF!</v>
      </c>
      <c r="AJ155" s="117" t="e">
        <f>SUMIFS(#REF!,#REF!,$C$144&amp;AJ62)</f>
        <v>#REF!</v>
      </c>
      <c r="AK155" s="56"/>
    </row>
    <row r="156" ht="19.5" hidden="1" customHeight="1" spans="1:37">
      <c r="A156" s="106"/>
      <c r="B156" s="106"/>
      <c r="C156" s="113"/>
      <c r="D156" s="39"/>
      <c r="E156" s="114" t="s">
        <v>43</v>
      </c>
      <c r="F156" s="118" t="e">
        <f t="shared" ref="F156:AJ156" si="66">F155/F152</f>
        <v>#REF!</v>
      </c>
      <c r="G156" s="122" t="e">
        <f t="shared" si="66"/>
        <v>#REF!</v>
      </c>
      <c r="H156" s="122" t="e">
        <f t="shared" si="66"/>
        <v>#REF!</v>
      </c>
      <c r="I156" s="122" t="e">
        <f t="shared" si="66"/>
        <v>#REF!</v>
      </c>
      <c r="J156" s="122" t="e">
        <f t="shared" si="66"/>
        <v>#REF!</v>
      </c>
      <c r="K156" s="122" t="e">
        <f t="shared" si="66"/>
        <v>#REF!</v>
      </c>
      <c r="L156" s="119" t="e">
        <f t="shared" si="66"/>
        <v>#REF!</v>
      </c>
      <c r="M156" s="119" t="e">
        <f t="shared" si="66"/>
        <v>#REF!</v>
      </c>
      <c r="N156" s="119" t="e">
        <f t="shared" si="66"/>
        <v>#REF!</v>
      </c>
      <c r="O156" s="119" t="e">
        <f t="shared" si="66"/>
        <v>#REF!</v>
      </c>
      <c r="P156" s="119" t="e">
        <f t="shared" si="66"/>
        <v>#REF!</v>
      </c>
      <c r="Q156" s="119" t="e">
        <f t="shared" si="66"/>
        <v>#REF!</v>
      </c>
      <c r="R156" s="119" t="e">
        <f t="shared" si="66"/>
        <v>#REF!</v>
      </c>
      <c r="S156" s="119" t="e">
        <f t="shared" si="66"/>
        <v>#REF!</v>
      </c>
      <c r="T156" s="119" t="e">
        <f t="shared" si="66"/>
        <v>#REF!</v>
      </c>
      <c r="U156" s="119" t="e">
        <f t="shared" si="66"/>
        <v>#REF!</v>
      </c>
      <c r="V156" s="119" t="e">
        <f t="shared" si="66"/>
        <v>#REF!</v>
      </c>
      <c r="W156" s="119" t="e">
        <f t="shared" si="66"/>
        <v>#REF!</v>
      </c>
      <c r="X156" s="119" t="e">
        <f t="shared" si="66"/>
        <v>#REF!</v>
      </c>
      <c r="Y156" s="119" t="e">
        <f t="shared" si="66"/>
        <v>#REF!</v>
      </c>
      <c r="Z156" s="119" t="e">
        <f t="shared" si="66"/>
        <v>#REF!</v>
      </c>
      <c r="AA156" s="119" t="e">
        <f t="shared" si="66"/>
        <v>#REF!</v>
      </c>
      <c r="AB156" s="119" t="e">
        <f t="shared" si="66"/>
        <v>#REF!</v>
      </c>
      <c r="AC156" s="119" t="e">
        <f t="shared" si="66"/>
        <v>#REF!</v>
      </c>
      <c r="AD156" s="119" t="e">
        <f t="shared" si="66"/>
        <v>#REF!</v>
      </c>
      <c r="AE156" s="119" t="e">
        <f t="shared" si="66"/>
        <v>#REF!</v>
      </c>
      <c r="AF156" s="119" t="e">
        <f t="shared" si="66"/>
        <v>#REF!</v>
      </c>
      <c r="AG156" s="119" t="e">
        <f t="shared" si="66"/>
        <v>#REF!</v>
      </c>
      <c r="AH156" s="119" t="e">
        <f t="shared" si="66"/>
        <v>#REF!</v>
      </c>
      <c r="AI156" s="119" t="e">
        <f t="shared" si="66"/>
        <v>#REF!</v>
      </c>
      <c r="AJ156" s="119" t="e">
        <f t="shared" si="66"/>
        <v>#REF!</v>
      </c>
      <c r="AK156" s="119"/>
    </row>
    <row r="157" ht="19.5" hidden="1" customHeight="1" spans="1:37">
      <c r="A157" s="106"/>
      <c r="B157" s="106"/>
      <c r="C157" s="113"/>
      <c r="D157" s="39"/>
      <c r="E157" s="114" t="s">
        <v>47</v>
      </c>
      <c r="F157" s="104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</row>
    <row r="158" ht="19.5" hidden="1" customHeight="1" spans="1:37">
      <c r="A158" s="105">
        <f>F159*F160</f>
        <v>33333.6</v>
      </c>
      <c r="B158" s="106"/>
      <c r="C158" s="113"/>
      <c r="D158" s="108" t="s">
        <v>81</v>
      </c>
      <c r="E158" s="115" t="s">
        <v>82</v>
      </c>
      <c r="F158" s="110">
        <f>SUM(G158:AK158)</f>
        <v>570</v>
      </c>
      <c r="G158" s="111">
        <v>29</v>
      </c>
      <c r="H158" s="111">
        <v>17</v>
      </c>
      <c r="I158" s="111">
        <v>23</v>
      </c>
      <c r="J158" s="111">
        <v>23</v>
      </c>
      <c r="K158" s="111">
        <v>17</v>
      </c>
      <c r="L158" s="111">
        <v>23</v>
      </c>
      <c r="M158" s="111">
        <v>20</v>
      </c>
      <c r="N158" s="111">
        <v>17</v>
      </c>
      <c r="O158" s="111">
        <v>20</v>
      </c>
      <c r="P158" s="111">
        <v>17</v>
      </c>
      <c r="Q158" s="111">
        <v>17</v>
      </c>
      <c r="R158" s="111">
        <v>17</v>
      </c>
      <c r="S158" s="111">
        <v>17</v>
      </c>
      <c r="T158" s="111">
        <v>23</v>
      </c>
      <c r="U158" s="111">
        <v>23</v>
      </c>
      <c r="V158" s="111">
        <v>29</v>
      </c>
      <c r="W158" s="111">
        <v>23</v>
      </c>
      <c r="X158" s="111">
        <v>35</v>
      </c>
      <c r="Y158" s="111">
        <v>17</v>
      </c>
      <c r="Z158" s="111">
        <v>23</v>
      </c>
      <c r="AA158" s="111">
        <v>14</v>
      </c>
      <c r="AB158" s="111">
        <v>14</v>
      </c>
      <c r="AC158" s="111">
        <v>14</v>
      </c>
      <c r="AD158" s="111">
        <v>14</v>
      </c>
      <c r="AE158" s="111">
        <v>14</v>
      </c>
      <c r="AF158" s="111">
        <v>14</v>
      </c>
      <c r="AG158" s="111">
        <v>14</v>
      </c>
      <c r="AH158" s="111">
        <v>14</v>
      </c>
      <c r="AI158" s="111">
        <v>14</v>
      </c>
      <c r="AJ158" s="111">
        <v>14</v>
      </c>
      <c r="AK158" s="111"/>
    </row>
    <row r="159" ht="19.5" hidden="1" customHeight="1" spans="1:37">
      <c r="A159" s="112">
        <f>A158/$A$208</f>
        <v>0.205563287414151</v>
      </c>
      <c r="B159" s="112">
        <f>F159/$F$209</f>
        <v>0.278115035913264</v>
      </c>
      <c r="C159" s="113"/>
      <c r="D159" s="39"/>
      <c r="E159" s="114" t="s">
        <v>41</v>
      </c>
      <c r="F159" s="110">
        <f>SUM(G159:AK159)</f>
        <v>196080</v>
      </c>
      <c r="G159" s="56">
        <v>9976</v>
      </c>
      <c r="H159" s="56">
        <v>5848</v>
      </c>
      <c r="I159" s="56">
        <v>7912</v>
      </c>
      <c r="J159" s="56">
        <v>7912</v>
      </c>
      <c r="K159" s="56">
        <v>5848</v>
      </c>
      <c r="L159" s="56">
        <v>7912</v>
      </c>
      <c r="M159" s="56">
        <v>6880</v>
      </c>
      <c r="N159" s="56">
        <v>5848</v>
      </c>
      <c r="O159" s="56">
        <v>6880</v>
      </c>
      <c r="P159" s="56">
        <v>5848</v>
      </c>
      <c r="Q159" s="56">
        <v>5848</v>
      </c>
      <c r="R159" s="56">
        <v>5848</v>
      </c>
      <c r="S159" s="56">
        <v>5848</v>
      </c>
      <c r="T159" s="56">
        <v>7912</v>
      </c>
      <c r="U159" s="56">
        <v>7912</v>
      </c>
      <c r="V159" s="56">
        <v>9976</v>
      </c>
      <c r="W159" s="56">
        <v>7912</v>
      </c>
      <c r="X159" s="56">
        <v>12040</v>
      </c>
      <c r="Y159" s="56">
        <v>5848</v>
      </c>
      <c r="Z159" s="56">
        <v>7912</v>
      </c>
      <c r="AA159" s="56">
        <v>4816</v>
      </c>
      <c r="AB159" s="56">
        <v>4816</v>
      </c>
      <c r="AC159" s="56">
        <v>4816</v>
      </c>
      <c r="AD159" s="56">
        <v>4816</v>
      </c>
      <c r="AE159" s="56">
        <v>4816</v>
      </c>
      <c r="AF159" s="56">
        <v>4816</v>
      </c>
      <c r="AG159" s="56">
        <v>4816</v>
      </c>
      <c r="AH159" s="56">
        <v>4816</v>
      </c>
      <c r="AI159" s="56">
        <v>4816</v>
      </c>
      <c r="AJ159" s="56">
        <v>4816</v>
      </c>
      <c r="AK159" s="56"/>
    </row>
    <row r="160" ht="19.5" hidden="1" customHeight="1" spans="1:37">
      <c r="A160" s="106"/>
      <c r="B160" s="106"/>
      <c r="C160" s="113"/>
      <c r="D160" s="39"/>
      <c r="E160" s="115" t="s">
        <v>46</v>
      </c>
      <c r="F160" s="116">
        <v>0.17</v>
      </c>
      <c r="G160" s="116">
        <v>0.16</v>
      </c>
      <c r="H160" s="116">
        <v>0.17</v>
      </c>
      <c r="I160" s="116">
        <v>0.16</v>
      </c>
      <c r="J160" s="116">
        <v>0.16</v>
      </c>
      <c r="K160" s="116">
        <v>0.17</v>
      </c>
      <c r="L160" s="116">
        <v>0.16</v>
      </c>
      <c r="M160" s="116">
        <v>0.17</v>
      </c>
      <c r="N160" s="116">
        <v>0.17</v>
      </c>
      <c r="O160" s="116">
        <v>0.17</v>
      </c>
      <c r="P160" s="116">
        <v>0.17</v>
      </c>
      <c r="Q160" s="116">
        <v>0.17</v>
      </c>
      <c r="R160" s="116">
        <v>0.17</v>
      </c>
      <c r="S160" s="116">
        <v>0.17</v>
      </c>
      <c r="T160" s="116">
        <v>0.16</v>
      </c>
      <c r="U160" s="116">
        <v>0.16</v>
      </c>
      <c r="V160" s="116">
        <v>0.16</v>
      </c>
      <c r="W160" s="116">
        <v>0.16</v>
      </c>
      <c r="X160" s="116">
        <v>0.16</v>
      </c>
      <c r="Y160" s="116">
        <v>0.17</v>
      </c>
      <c r="Z160" s="116">
        <v>0.16</v>
      </c>
      <c r="AA160" s="116">
        <v>0.17</v>
      </c>
      <c r="AB160" s="116">
        <v>0.17</v>
      </c>
      <c r="AC160" s="116">
        <v>0.17</v>
      </c>
      <c r="AD160" s="116">
        <v>0.17</v>
      </c>
      <c r="AE160" s="116">
        <v>0.17</v>
      </c>
      <c r="AF160" s="116">
        <v>0.17</v>
      </c>
      <c r="AG160" s="116">
        <v>0.17</v>
      </c>
      <c r="AH160" s="116">
        <v>0.17</v>
      </c>
      <c r="AI160" s="116">
        <v>0.17</v>
      </c>
      <c r="AJ160" s="116">
        <v>0.17</v>
      </c>
      <c r="AK160" s="116"/>
    </row>
    <row r="161" ht="19.5" hidden="1" customHeight="1" spans="1:37">
      <c r="A161" s="106"/>
      <c r="B161" s="106"/>
      <c r="C161" s="113"/>
      <c r="D161" s="39"/>
      <c r="E161" s="114" t="s">
        <v>85</v>
      </c>
      <c r="F161" s="42" t="e">
        <f>SUM(G161:AK161)</f>
        <v>#REF!</v>
      </c>
      <c r="G161" s="117" t="e">
        <f>SUMIFS(#REF!,#REF!,$C$144&amp;G$62)</f>
        <v>#REF!</v>
      </c>
      <c r="H161" s="117" t="e">
        <f>SUMIFS(#REF!,#REF!,$C$144&amp;H62)</f>
        <v>#REF!</v>
      </c>
      <c r="I161" s="117" t="e">
        <f>SUMIFS(#REF!,#REF!,$C$144&amp;I62)</f>
        <v>#REF!</v>
      </c>
      <c r="J161" s="117" t="e">
        <f>SUMIFS(#REF!,#REF!,$C$144&amp;J62)</f>
        <v>#REF!</v>
      </c>
      <c r="K161" s="117" t="e">
        <f>SUMIFS(#REF!,#REF!,$C$144&amp;K62)</f>
        <v>#REF!</v>
      </c>
      <c r="L161" s="117" t="e">
        <f>SUMIFS(#REF!,#REF!,$C$144&amp;L62)</f>
        <v>#REF!</v>
      </c>
      <c r="M161" s="117" t="e">
        <f>SUMIFS(#REF!,#REF!,$C$144&amp;M62)</f>
        <v>#REF!</v>
      </c>
      <c r="N161" s="117" t="e">
        <f>SUMIFS(#REF!,#REF!,$C$144&amp;N62)</f>
        <v>#REF!</v>
      </c>
      <c r="O161" s="117" t="e">
        <f>SUMIFS(#REF!,#REF!,$C$144&amp;O62)</f>
        <v>#REF!</v>
      </c>
      <c r="P161" s="117" t="e">
        <f>SUMIFS(#REF!,#REF!,$C$144&amp;P62)</f>
        <v>#REF!</v>
      </c>
      <c r="Q161" s="117" t="e">
        <f>SUMIFS(#REF!,#REF!,$C$144&amp;Q62)</f>
        <v>#REF!</v>
      </c>
      <c r="R161" s="117" t="e">
        <f>SUMIFS(#REF!,#REF!,$C$144&amp;R62)</f>
        <v>#REF!</v>
      </c>
      <c r="S161" s="117" t="e">
        <f>SUMIFS(#REF!,#REF!,$C$144&amp;S62)</f>
        <v>#REF!</v>
      </c>
      <c r="T161" s="117" t="e">
        <f>SUMIFS(#REF!,#REF!,$C$144&amp;T62)</f>
        <v>#REF!</v>
      </c>
      <c r="U161" s="117" t="e">
        <f>SUMIFS(#REF!,#REF!,$C$144&amp;U62)</f>
        <v>#REF!</v>
      </c>
      <c r="V161" s="117" t="e">
        <f>SUMIFS(#REF!,#REF!,$C$144&amp;V62)</f>
        <v>#REF!</v>
      </c>
      <c r="W161" s="117" t="e">
        <f>SUMIFS(#REF!,#REF!,$C$144&amp;W62)</f>
        <v>#REF!</v>
      </c>
      <c r="X161" s="117" t="e">
        <f>SUMIFS(#REF!,#REF!,$C$144&amp;X62)</f>
        <v>#REF!</v>
      </c>
      <c r="Y161" s="117" t="e">
        <f>SUMIFS(#REF!,#REF!,$C$144&amp;Y62)</f>
        <v>#REF!</v>
      </c>
      <c r="Z161" s="117" t="e">
        <f>SUMIFS(#REF!,#REF!,$C$144&amp;Z62)</f>
        <v>#REF!</v>
      </c>
      <c r="AA161" s="117" t="e">
        <f>SUMIFS(#REF!,#REF!,$C$144&amp;AA62)</f>
        <v>#REF!</v>
      </c>
      <c r="AB161" s="117" t="e">
        <f>SUMIFS(#REF!,#REF!,$C$144&amp;AB62)</f>
        <v>#REF!</v>
      </c>
      <c r="AC161" s="117" t="e">
        <f>SUMIFS(#REF!,#REF!,$C$144&amp;AC62)</f>
        <v>#REF!</v>
      </c>
      <c r="AD161" s="117" t="e">
        <f>SUMIFS(#REF!,#REF!,$C$144&amp;AD62)</f>
        <v>#REF!</v>
      </c>
      <c r="AE161" s="117" t="e">
        <f>SUMIFS(#REF!,#REF!,$C$144&amp;AE62)</f>
        <v>#REF!</v>
      </c>
      <c r="AF161" s="117" t="e">
        <f>SUMIFS(#REF!,#REF!,$C$144&amp;AF62)</f>
        <v>#REF!</v>
      </c>
      <c r="AG161" s="117" t="e">
        <f>SUMIFS(#REF!,#REF!,$C$144&amp;AG62)</f>
        <v>#REF!</v>
      </c>
      <c r="AH161" s="117" t="e">
        <f>SUMIFS(#REF!,#REF!,$C$144&amp;AH62)</f>
        <v>#REF!</v>
      </c>
      <c r="AI161" s="117" t="e">
        <f>SUMIFS(#REF!,#REF!,$C$144&amp;AI62)</f>
        <v>#REF!</v>
      </c>
      <c r="AJ161" s="117" t="e">
        <f>SUMIFS(#REF!,#REF!,$C$144&amp;AJ62)</f>
        <v>#REF!</v>
      </c>
      <c r="AK161" s="56"/>
    </row>
    <row r="162" ht="19.5" hidden="1" customHeight="1" spans="1:37">
      <c r="A162" s="106"/>
      <c r="B162" s="112" t="e">
        <f>F162/$F$212</f>
        <v>#REF!</v>
      </c>
      <c r="C162" s="113"/>
      <c r="D162" s="39"/>
      <c r="E162" s="114" t="s">
        <v>86</v>
      </c>
      <c r="F162" s="42" t="e">
        <f>SUM(G162:AK162)</f>
        <v>#REF!</v>
      </c>
      <c r="G162" s="117" t="e">
        <f>SUMIFS(#REF!,#REF!,$C$144&amp;G$62)</f>
        <v>#REF!</v>
      </c>
      <c r="H162" s="117" t="e">
        <f>SUMIFS(#REF!,#REF!,$C$144&amp;H62)</f>
        <v>#REF!</v>
      </c>
      <c r="I162" s="117" t="e">
        <f>SUMIFS(#REF!,#REF!,$C$144&amp;I62)</f>
        <v>#REF!</v>
      </c>
      <c r="J162" s="117" t="e">
        <f>SUMIFS(#REF!,#REF!,$C$144&amp;J62)</f>
        <v>#REF!</v>
      </c>
      <c r="K162" s="117" t="e">
        <f>SUMIFS(#REF!,#REF!,$C$144&amp;K62)</f>
        <v>#REF!</v>
      </c>
      <c r="L162" s="117" t="e">
        <f>SUMIFS(#REF!,#REF!,$C$144&amp;L62)</f>
        <v>#REF!</v>
      </c>
      <c r="M162" s="117" t="e">
        <f>SUMIFS(#REF!,#REF!,$C$144&amp;M62)</f>
        <v>#REF!</v>
      </c>
      <c r="N162" s="117" t="e">
        <f>SUMIFS(#REF!,#REF!,$C$144&amp;N62)</f>
        <v>#REF!</v>
      </c>
      <c r="O162" s="117" t="e">
        <f>SUMIFS(#REF!,#REF!,$C$144&amp;O62)</f>
        <v>#REF!</v>
      </c>
      <c r="P162" s="117" t="e">
        <f>SUMIFS(#REF!,#REF!,$C$144&amp;P62)</f>
        <v>#REF!</v>
      </c>
      <c r="Q162" s="117" t="e">
        <f>SUMIFS(#REF!,#REF!,$C$144&amp;Q62)</f>
        <v>#REF!</v>
      </c>
      <c r="R162" s="117" t="e">
        <f>SUMIFS(#REF!,#REF!,$C$144&amp;R62)</f>
        <v>#REF!</v>
      </c>
      <c r="S162" s="117" t="e">
        <f>SUMIFS(#REF!,#REF!,$C$144&amp;S62)</f>
        <v>#REF!</v>
      </c>
      <c r="T162" s="117" t="e">
        <f>SUMIFS(#REF!,#REF!,$C$144&amp;T62)</f>
        <v>#REF!</v>
      </c>
      <c r="U162" s="117" t="e">
        <f>SUMIFS(#REF!,#REF!,$C$144&amp;U62)</f>
        <v>#REF!</v>
      </c>
      <c r="V162" s="117" t="e">
        <f>SUMIFS(#REF!,#REF!,$C$144&amp;V62)</f>
        <v>#REF!</v>
      </c>
      <c r="W162" s="117" t="e">
        <f>SUMIFS(#REF!,#REF!,$C$144&amp;W62)</f>
        <v>#REF!</v>
      </c>
      <c r="X162" s="117" t="e">
        <f>SUMIFS(#REF!,#REF!,$C$144&amp;X62)</f>
        <v>#REF!</v>
      </c>
      <c r="Y162" s="117" t="e">
        <f>SUMIFS(#REF!,#REF!,$C$144&amp;Y62)</f>
        <v>#REF!</v>
      </c>
      <c r="Z162" s="117" t="e">
        <f>SUMIFS(#REF!,#REF!,$C$144&amp;Z62)</f>
        <v>#REF!</v>
      </c>
      <c r="AA162" s="117" t="e">
        <f>SUMIFS(#REF!,#REF!,$C$144&amp;AA62)</f>
        <v>#REF!</v>
      </c>
      <c r="AB162" s="117" t="e">
        <f>SUMIFS(#REF!,#REF!,$C$144&amp;AB62)</f>
        <v>#REF!</v>
      </c>
      <c r="AC162" s="117" t="e">
        <f>SUMIFS(#REF!,#REF!,$C$144&amp;AC62)</f>
        <v>#REF!</v>
      </c>
      <c r="AD162" s="117" t="e">
        <f>SUMIFS(#REF!,#REF!,$C$144&amp;AD62)</f>
        <v>#REF!</v>
      </c>
      <c r="AE162" s="117" t="e">
        <f>SUMIFS(#REF!,#REF!,$C$144&amp;AE62)</f>
        <v>#REF!</v>
      </c>
      <c r="AF162" s="117" t="e">
        <f>SUMIFS(#REF!,#REF!,$C$144&amp;AF62)</f>
        <v>#REF!</v>
      </c>
      <c r="AG162" s="117" t="e">
        <f>SUMIFS(#REF!,#REF!,$C$144&amp;AG62)</f>
        <v>#REF!</v>
      </c>
      <c r="AH162" s="117" t="e">
        <f>SUMIFS(#REF!,#REF!,$C$144&amp;AH62)</f>
        <v>#REF!</v>
      </c>
      <c r="AI162" s="117" t="e">
        <f>SUMIFS(#REF!,#REF!,$C$144&amp;AI62)</f>
        <v>#REF!</v>
      </c>
      <c r="AJ162" s="117" t="e">
        <f>SUMIFS(#REF!,#REF!,$C$144&amp;AJ62)</f>
        <v>#REF!</v>
      </c>
      <c r="AK162" s="56"/>
    </row>
    <row r="163" ht="19.5" hidden="1" customHeight="1" spans="1:37">
      <c r="A163" s="106"/>
      <c r="B163" s="106"/>
      <c r="C163" s="113"/>
      <c r="D163" s="39"/>
      <c r="E163" s="114" t="s">
        <v>43</v>
      </c>
      <c r="F163" s="118" t="e">
        <f t="shared" ref="F163:AJ163" si="67">F162/F159</f>
        <v>#REF!</v>
      </c>
      <c r="G163" s="119" t="e">
        <f t="shared" si="67"/>
        <v>#REF!</v>
      </c>
      <c r="H163" s="119" t="e">
        <f t="shared" si="67"/>
        <v>#REF!</v>
      </c>
      <c r="I163" s="119" t="e">
        <f t="shared" si="67"/>
        <v>#REF!</v>
      </c>
      <c r="J163" s="119" t="e">
        <f t="shared" si="67"/>
        <v>#REF!</v>
      </c>
      <c r="K163" s="119" t="e">
        <f t="shared" si="67"/>
        <v>#REF!</v>
      </c>
      <c r="L163" s="119" t="e">
        <f t="shared" si="67"/>
        <v>#REF!</v>
      </c>
      <c r="M163" s="119" t="e">
        <f t="shared" si="67"/>
        <v>#REF!</v>
      </c>
      <c r="N163" s="119" t="e">
        <f t="shared" si="67"/>
        <v>#REF!</v>
      </c>
      <c r="O163" s="119" t="e">
        <f t="shared" si="67"/>
        <v>#REF!</v>
      </c>
      <c r="P163" s="119" t="e">
        <f t="shared" si="67"/>
        <v>#REF!</v>
      </c>
      <c r="Q163" s="119" t="e">
        <f t="shared" si="67"/>
        <v>#REF!</v>
      </c>
      <c r="R163" s="119" t="e">
        <f t="shared" si="67"/>
        <v>#REF!</v>
      </c>
      <c r="S163" s="119" t="e">
        <f t="shared" si="67"/>
        <v>#REF!</v>
      </c>
      <c r="T163" s="119" t="e">
        <f t="shared" si="67"/>
        <v>#REF!</v>
      </c>
      <c r="U163" s="119" t="e">
        <f t="shared" si="67"/>
        <v>#REF!</v>
      </c>
      <c r="V163" s="119" t="e">
        <f t="shared" si="67"/>
        <v>#REF!</v>
      </c>
      <c r="W163" s="119" t="e">
        <f t="shared" si="67"/>
        <v>#REF!</v>
      </c>
      <c r="X163" s="119" t="e">
        <f t="shared" si="67"/>
        <v>#REF!</v>
      </c>
      <c r="Y163" s="119" t="e">
        <f t="shared" si="67"/>
        <v>#REF!</v>
      </c>
      <c r="Z163" s="119" t="e">
        <f t="shared" si="67"/>
        <v>#REF!</v>
      </c>
      <c r="AA163" s="119" t="e">
        <f t="shared" si="67"/>
        <v>#REF!</v>
      </c>
      <c r="AB163" s="119" t="e">
        <f t="shared" si="67"/>
        <v>#REF!</v>
      </c>
      <c r="AC163" s="119" t="e">
        <f t="shared" si="67"/>
        <v>#REF!</v>
      </c>
      <c r="AD163" s="119" t="e">
        <f t="shared" si="67"/>
        <v>#REF!</v>
      </c>
      <c r="AE163" s="119" t="e">
        <f t="shared" si="67"/>
        <v>#REF!</v>
      </c>
      <c r="AF163" s="119" t="e">
        <f t="shared" si="67"/>
        <v>#REF!</v>
      </c>
      <c r="AG163" s="119" t="e">
        <f t="shared" si="67"/>
        <v>#REF!</v>
      </c>
      <c r="AH163" s="119" t="e">
        <f t="shared" si="67"/>
        <v>#REF!</v>
      </c>
      <c r="AI163" s="119" t="e">
        <f t="shared" si="67"/>
        <v>#REF!</v>
      </c>
      <c r="AJ163" s="119" t="e">
        <f t="shared" si="67"/>
        <v>#REF!</v>
      </c>
      <c r="AK163" s="119"/>
    </row>
    <row r="164" ht="19.5" hidden="1" customHeight="1" spans="1:37">
      <c r="A164" s="106"/>
      <c r="B164" s="106"/>
      <c r="C164" s="113"/>
      <c r="D164" s="39"/>
      <c r="E164" s="114" t="s">
        <v>47</v>
      </c>
      <c r="F164" s="104">
        <f t="shared" ref="F164:AJ164" si="68">IFERROR(I370/F162,0)</f>
        <v>0</v>
      </c>
      <c r="G164" s="104">
        <f t="shared" si="68"/>
        <v>0</v>
      </c>
      <c r="H164" s="104">
        <f t="shared" si="68"/>
        <v>0</v>
      </c>
      <c r="I164" s="104">
        <f t="shared" si="68"/>
        <v>0</v>
      </c>
      <c r="J164" s="104">
        <f t="shared" si="68"/>
        <v>0</v>
      </c>
      <c r="K164" s="104">
        <f t="shared" si="68"/>
        <v>0</v>
      </c>
      <c r="L164" s="104">
        <f t="shared" si="68"/>
        <v>0</v>
      </c>
      <c r="M164" s="104">
        <f t="shared" si="68"/>
        <v>0</v>
      </c>
      <c r="N164" s="104">
        <f t="shared" si="68"/>
        <v>0</v>
      </c>
      <c r="O164" s="104">
        <f t="shared" si="68"/>
        <v>0</v>
      </c>
      <c r="P164" s="104">
        <f t="shared" si="68"/>
        <v>0</v>
      </c>
      <c r="Q164" s="104">
        <f t="shared" si="68"/>
        <v>0</v>
      </c>
      <c r="R164" s="104">
        <f t="shared" si="68"/>
        <v>0</v>
      </c>
      <c r="S164" s="104">
        <f t="shared" si="68"/>
        <v>0</v>
      </c>
      <c r="T164" s="104">
        <f t="shared" si="68"/>
        <v>0</v>
      </c>
      <c r="U164" s="104">
        <f t="shared" si="68"/>
        <v>0</v>
      </c>
      <c r="V164" s="104">
        <f t="shared" si="68"/>
        <v>0</v>
      </c>
      <c r="W164" s="104">
        <f t="shared" si="68"/>
        <v>0</v>
      </c>
      <c r="X164" s="104">
        <f t="shared" si="68"/>
        <v>0</v>
      </c>
      <c r="Y164" s="104">
        <f t="shared" si="68"/>
        <v>0</v>
      </c>
      <c r="Z164" s="104">
        <f t="shared" si="68"/>
        <v>0</v>
      </c>
      <c r="AA164" s="104">
        <f t="shared" si="68"/>
        <v>0</v>
      </c>
      <c r="AB164" s="104">
        <f t="shared" si="68"/>
        <v>0</v>
      </c>
      <c r="AC164" s="104">
        <f t="shared" si="68"/>
        <v>0</v>
      </c>
      <c r="AD164" s="104">
        <f t="shared" si="68"/>
        <v>0</v>
      </c>
      <c r="AE164" s="104">
        <f t="shared" si="68"/>
        <v>0</v>
      </c>
      <c r="AF164" s="104">
        <f t="shared" si="68"/>
        <v>0</v>
      </c>
      <c r="AG164" s="104">
        <f t="shared" si="68"/>
        <v>0</v>
      </c>
      <c r="AH164" s="104">
        <f t="shared" si="68"/>
        <v>0</v>
      </c>
      <c r="AI164" s="104">
        <f t="shared" si="68"/>
        <v>0</v>
      </c>
      <c r="AJ164" s="104">
        <f t="shared" si="68"/>
        <v>0</v>
      </c>
      <c r="AK164" s="48"/>
    </row>
    <row r="165" ht="19.5" hidden="1" customHeight="1" spans="1:37">
      <c r="A165" s="105">
        <f>F166*F167</f>
        <v>32936.88</v>
      </c>
      <c r="B165" s="106"/>
      <c r="C165" s="113"/>
      <c r="D165" s="108" t="s">
        <v>89</v>
      </c>
      <c r="E165" s="115" t="s">
        <v>82</v>
      </c>
      <c r="F165" s="110">
        <f>SUM(G165:AK165)</f>
        <v>124</v>
      </c>
      <c r="G165" s="111">
        <v>6</v>
      </c>
      <c r="H165" s="111">
        <v>4</v>
      </c>
      <c r="I165" s="111">
        <v>5</v>
      </c>
      <c r="J165" s="111">
        <v>5</v>
      </c>
      <c r="K165" s="111">
        <v>4</v>
      </c>
      <c r="L165" s="111">
        <v>5</v>
      </c>
      <c r="M165" s="111">
        <v>4</v>
      </c>
      <c r="N165" s="111">
        <v>4</v>
      </c>
      <c r="O165" s="111">
        <v>4</v>
      </c>
      <c r="P165" s="111">
        <v>4</v>
      </c>
      <c r="Q165" s="111">
        <v>4</v>
      </c>
      <c r="R165" s="111">
        <v>4</v>
      </c>
      <c r="S165" s="111">
        <v>4</v>
      </c>
      <c r="T165" s="111">
        <v>5</v>
      </c>
      <c r="U165" s="111">
        <v>5</v>
      </c>
      <c r="V165" s="111">
        <v>6</v>
      </c>
      <c r="W165" s="111">
        <v>5</v>
      </c>
      <c r="X165" s="111">
        <v>7</v>
      </c>
      <c r="Y165" s="111">
        <v>4</v>
      </c>
      <c r="Z165" s="111">
        <v>5</v>
      </c>
      <c r="AA165" s="111">
        <v>3</v>
      </c>
      <c r="AB165" s="111">
        <v>3</v>
      </c>
      <c r="AC165" s="111">
        <v>3</v>
      </c>
      <c r="AD165" s="111">
        <v>3</v>
      </c>
      <c r="AE165" s="111">
        <v>3</v>
      </c>
      <c r="AF165" s="111">
        <v>3</v>
      </c>
      <c r="AG165" s="111">
        <v>3</v>
      </c>
      <c r="AH165" s="111">
        <v>3</v>
      </c>
      <c r="AI165" s="111">
        <v>3</v>
      </c>
      <c r="AJ165" s="111">
        <v>3</v>
      </c>
      <c r="AK165" s="111"/>
    </row>
    <row r="166" ht="19.5" hidden="1" customHeight="1" spans="1:37">
      <c r="A166" s="112">
        <f>A165/$A$208</f>
        <v>0.203116774964763</v>
      </c>
      <c r="B166" s="112">
        <f>F166/$F$209</f>
        <v>0.122939100636567</v>
      </c>
      <c r="C166" s="113"/>
      <c r="D166" s="39"/>
      <c r="E166" s="114" t="s">
        <v>41</v>
      </c>
      <c r="F166" s="110">
        <f>SUM(G166:AK166)</f>
        <v>86676</v>
      </c>
      <c r="G166" s="56">
        <v>4194</v>
      </c>
      <c r="H166" s="56">
        <v>2796</v>
      </c>
      <c r="I166" s="56">
        <v>3495</v>
      </c>
      <c r="J166" s="56">
        <v>3495</v>
      </c>
      <c r="K166" s="56">
        <v>2796</v>
      </c>
      <c r="L166" s="56">
        <v>3495</v>
      </c>
      <c r="M166" s="56">
        <v>2796</v>
      </c>
      <c r="N166" s="56">
        <v>2796</v>
      </c>
      <c r="O166" s="56">
        <v>2796</v>
      </c>
      <c r="P166" s="56">
        <v>2796</v>
      </c>
      <c r="Q166" s="56">
        <v>2796</v>
      </c>
      <c r="R166" s="56">
        <v>2796</v>
      </c>
      <c r="S166" s="56">
        <v>2796</v>
      </c>
      <c r="T166" s="56">
        <v>3495</v>
      </c>
      <c r="U166" s="56">
        <v>3495</v>
      </c>
      <c r="V166" s="56">
        <v>4194</v>
      </c>
      <c r="W166" s="56">
        <v>3495</v>
      </c>
      <c r="X166" s="56">
        <v>4893</v>
      </c>
      <c r="Y166" s="56">
        <v>2796</v>
      </c>
      <c r="Z166" s="56">
        <v>3495</v>
      </c>
      <c r="AA166" s="56">
        <v>2097</v>
      </c>
      <c r="AB166" s="56">
        <v>2097</v>
      </c>
      <c r="AC166" s="56">
        <v>2097</v>
      </c>
      <c r="AD166" s="56">
        <v>2097</v>
      </c>
      <c r="AE166" s="56">
        <v>2097</v>
      </c>
      <c r="AF166" s="56">
        <v>2097</v>
      </c>
      <c r="AG166" s="56">
        <v>2097</v>
      </c>
      <c r="AH166" s="56">
        <v>2097</v>
      </c>
      <c r="AI166" s="56">
        <v>2097</v>
      </c>
      <c r="AJ166" s="56">
        <v>2097</v>
      </c>
      <c r="AK166" s="56"/>
    </row>
    <row r="167" ht="19.5" hidden="1" customHeight="1" spans="1:37">
      <c r="A167" s="106"/>
      <c r="B167" s="106"/>
      <c r="C167" s="113"/>
      <c r="D167" s="39"/>
      <c r="E167" s="115" t="s">
        <v>46</v>
      </c>
      <c r="F167" s="116">
        <v>0.38</v>
      </c>
      <c r="G167" s="116">
        <v>0.39</v>
      </c>
      <c r="H167" s="116">
        <v>0.35</v>
      </c>
      <c r="I167" s="116">
        <v>0.37</v>
      </c>
      <c r="J167" s="116">
        <v>0.37</v>
      </c>
      <c r="K167" s="116">
        <v>0.35</v>
      </c>
      <c r="L167" s="116">
        <v>0.37</v>
      </c>
      <c r="M167" s="116">
        <v>0.41</v>
      </c>
      <c r="N167" s="116">
        <v>0.35</v>
      </c>
      <c r="O167" s="116">
        <v>0.41</v>
      </c>
      <c r="P167" s="116">
        <v>0.35</v>
      </c>
      <c r="Q167" s="116">
        <v>0.35</v>
      </c>
      <c r="R167" s="116">
        <v>0.35</v>
      </c>
      <c r="S167" s="116">
        <v>0.35</v>
      </c>
      <c r="T167" s="116">
        <v>0.37</v>
      </c>
      <c r="U167" s="116">
        <v>0.37</v>
      </c>
      <c r="V167" s="116">
        <v>0.39</v>
      </c>
      <c r="W167" s="116">
        <v>0.37</v>
      </c>
      <c r="X167" s="116">
        <v>0.4</v>
      </c>
      <c r="Y167" s="116">
        <v>0.35</v>
      </c>
      <c r="Z167" s="116">
        <v>0.37</v>
      </c>
      <c r="AA167" s="116">
        <v>0.39</v>
      </c>
      <c r="AB167" s="116">
        <v>0.39</v>
      </c>
      <c r="AC167" s="116">
        <v>0.39</v>
      </c>
      <c r="AD167" s="116">
        <v>0.39</v>
      </c>
      <c r="AE167" s="116">
        <v>0.39</v>
      </c>
      <c r="AF167" s="116">
        <v>0.39</v>
      </c>
      <c r="AG167" s="116">
        <v>0.39</v>
      </c>
      <c r="AH167" s="116">
        <v>0.39</v>
      </c>
      <c r="AI167" s="116">
        <v>0.39</v>
      </c>
      <c r="AJ167" s="116">
        <v>0.39</v>
      </c>
      <c r="AK167" s="116"/>
    </row>
    <row r="168" ht="19.5" hidden="1" customHeight="1" spans="1:37">
      <c r="A168" s="106"/>
      <c r="B168" s="106"/>
      <c r="C168" s="113"/>
      <c r="D168" s="39"/>
      <c r="E168" s="114" t="s">
        <v>85</v>
      </c>
      <c r="F168" s="42" t="e">
        <f>SUM(G168:AK168)</f>
        <v>#REF!</v>
      </c>
      <c r="G168" s="117" t="e">
        <f>SUMIFS(#REF!,#REF!,$C$144&amp;G$62)</f>
        <v>#REF!</v>
      </c>
      <c r="H168" s="117" t="e">
        <f>SUMIFS(#REF!,#REF!,$C$144&amp;H$62)</f>
        <v>#REF!</v>
      </c>
      <c r="I168" s="117" t="e">
        <f>SUMIFS(#REF!,#REF!,$C$144&amp;I$62)</f>
        <v>#REF!</v>
      </c>
      <c r="J168" s="117" t="e">
        <f>SUMIFS(#REF!,#REF!,$C$144&amp;J$62)</f>
        <v>#REF!</v>
      </c>
      <c r="K168" s="117" t="e">
        <f>SUMIFS(#REF!,#REF!,$C$144&amp;K$62)</f>
        <v>#REF!</v>
      </c>
      <c r="L168" s="117" t="e">
        <f>SUMIFS(#REF!,#REF!,$C$144&amp;L$62)</f>
        <v>#REF!</v>
      </c>
      <c r="M168" s="117" t="e">
        <f>SUMIFS(#REF!,#REF!,$C$144&amp;M$62)</f>
        <v>#REF!</v>
      </c>
      <c r="N168" s="117" t="e">
        <f>SUMIFS(#REF!,#REF!,$C$144&amp;N$62)</f>
        <v>#REF!</v>
      </c>
      <c r="O168" s="117" t="e">
        <f>SUMIFS(#REF!,#REF!,$C$144&amp;O$62)</f>
        <v>#REF!</v>
      </c>
      <c r="P168" s="117" t="e">
        <f>SUMIFS(#REF!,#REF!,$C$144&amp;P$62)</f>
        <v>#REF!</v>
      </c>
      <c r="Q168" s="117" t="e">
        <f>SUMIFS(#REF!,#REF!,$C$144&amp;Q$62)</f>
        <v>#REF!</v>
      </c>
      <c r="R168" s="117" t="e">
        <f>SUMIFS(#REF!,#REF!,$C$144&amp;R$62)</f>
        <v>#REF!</v>
      </c>
      <c r="S168" s="117" t="e">
        <f>SUMIFS(#REF!,#REF!,$C$144&amp;S$62)</f>
        <v>#REF!</v>
      </c>
      <c r="T168" s="117" t="e">
        <f>SUMIFS(#REF!,#REF!,$C$144&amp;T$62)</f>
        <v>#REF!</v>
      </c>
      <c r="U168" s="117" t="e">
        <f>SUMIFS(#REF!,#REF!,$C$144&amp;U$62)</f>
        <v>#REF!</v>
      </c>
      <c r="V168" s="117" t="e">
        <f>SUMIFS(#REF!,#REF!,$C$144&amp;V$62)</f>
        <v>#REF!</v>
      </c>
      <c r="W168" s="117" t="e">
        <f>SUMIFS(#REF!,#REF!,$C$144&amp;W$62)</f>
        <v>#REF!</v>
      </c>
      <c r="X168" s="117" t="e">
        <f>SUMIFS(#REF!,#REF!,$C$144&amp;X$62)</f>
        <v>#REF!</v>
      </c>
      <c r="Y168" s="117" t="e">
        <f>SUMIFS(#REF!,#REF!,$C$144&amp;Y$62)</f>
        <v>#REF!</v>
      </c>
      <c r="Z168" s="117" t="e">
        <f>SUMIFS(#REF!,#REF!,$C$144&amp;Z$62)</f>
        <v>#REF!</v>
      </c>
      <c r="AA168" s="117" t="e">
        <f>SUMIFS(#REF!,#REF!,$C$144&amp;AA$62)</f>
        <v>#REF!</v>
      </c>
      <c r="AB168" s="117" t="e">
        <f>SUMIFS(#REF!,#REF!,$C$144&amp;AB$62)</f>
        <v>#REF!</v>
      </c>
      <c r="AC168" s="117" t="e">
        <f>SUMIFS(#REF!,#REF!,$C$144&amp;AC$62)</f>
        <v>#REF!</v>
      </c>
      <c r="AD168" s="117" t="e">
        <f>SUMIFS(#REF!,#REF!,$C$144&amp;AD$62)</f>
        <v>#REF!</v>
      </c>
      <c r="AE168" s="117" t="e">
        <f>SUMIFS(#REF!,#REF!,$C$144&amp;AE$62)</f>
        <v>#REF!</v>
      </c>
      <c r="AF168" s="117" t="e">
        <f>SUMIFS(#REF!,#REF!,$C$144&amp;AF$62)</f>
        <v>#REF!</v>
      </c>
      <c r="AG168" s="117" t="e">
        <f>SUMIFS(#REF!,#REF!,$C$144&amp;AG$62)</f>
        <v>#REF!</v>
      </c>
      <c r="AH168" s="117" t="e">
        <f>SUMIFS(#REF!,#REF!,$C$144&amp;AH$62)</f>
        <v>#REF!</v>
      </c>
      <c r="AI168" s="117" t="e">
        <f>SUMIFS(#REF!,#REF!,$C$144&amp;AI$62)</f>
        <v>#REF!</v>
      </c>
      <c r="AJ168" s="117" t="e">
        <f>SUMIFS(#REF!,#REF!,$C$144&amp;AJ$62)</f>
        <v>#REF!</v>
      </c>
      <c r="AK168" s="56"/>
    </row>
    <row r="169" ht="19.5" hidden="1" customHeight="1" spans="1:37">
      <c r="A169" s="106"/>
      <c r="B169" s="112" t="e">
        <f>F169/$F$212</f>
        <v>#REF!</v>
      </c>
      <c r="C169" s="113"/>
      <c r="D169" s="39"/>
      <c r="E169" s="114" t="s">
        <v>86</v>
      </c>
      <c r="F169" s="42" t="e">
        <f>SUM(G169:AK169)</f>
        <v>#REF!</v>
      </c>
      <c r="G169" s="117" t="e">
        <f>SUMIFS(#REF!,#REF!,$C$144&amp;G$62)</f>
        <v>#REF!</v>
      </c>
      <c r="H169" s="117" t="e">
        <f>SUMIFS(#REF!,#REF!,$C$144&amp;H$62)</f>
        <v>#REF!</v>
      </c>
      <c r="I169" s="117" t="e">
        <f>SUMIFS(#REF!,#REF!,$C$144&amp;I$62)</f>
        <v>#REF!</v>
      </c>
      <c r="J169" s="117" t="e">
        <f>SUMIFS(#REF!,#REF!,$C$144&amp;J$62)</f>
        <v>#REF!</v>
      </c>
      <c r="K169" s="117" t="e">
        <f>SUMIFS(#REF!,#REF!,$C$144&amp;K$62)</f>
        <v>#REF!</v>
      </c>
      <c r="L169" s="117" t="e">
        <f>SUMIFS(#REF!,#REF!,$C$144&amp;L$62)</f>
        <v>#REF!</v>
      </c>
      <c r="M169" s="117" t="e">
        <f>SUMIFS(#REF!,#REF!,$C$144&amp;M$62)</f>
        <v>#REF!</v>
      </c>
      <c r="N169" s="117" t="e">
        <f>SUMIFS(#REF!,#REF!,$C$144&amp;N$62)</f>
        <v>#REF!</v>
      </c>
      <c r="O169" s="117" t="e">
        <f>SUMIFS(#REF!,#REF!,$C$144&amp;O$62)</f>
        <v>#REF!</v>
      </c>
      <c r="P169" s="117" t="e">
        <f>SUMIFS(#REF!,#REF!,$C$144&amp;P$62)</f>
        <v>#REF!</v>
      </c>
      <c r="Q169" s="117" t="e">
        <f>SUMIFS(#REF!,#REF!,$C$144&amp;Q$62)</f>
        <v>#REF!</v>
      </c>
      <c r="R169" s="117" t="e">
        <f>SUMIFS(#REF!,#REF!,$C$144&amp;R$62)</f>
        <v>#REF!</v>
      </c>
      <c r="S169" s="117" t="e">
        <f>SUMIFS(#REF!,#REF!,$C$144&amp;S$62)</f>
        <v>#REF!</v>
      </c>
      <c r="T169" s="117" t="e">
        <f>SUMIFS(#REF!,#REF!,$C$144&amp;T$62)</f>
        <v>#REF!</v>
      </c>
      <c r="U169" s="117" t="e">
        <f>SUMIFS(#REF!,#REF!,$C$144&amp;U$62)</f>
        <v>#REF!</v>
      </c>
      <c r="V169" s="117" t="e">
        <f>SUMIFS(#REF!,#REF!,$C$144&amp;V$62)</f>
        <v>#REF!</v>
      </c>
      <c r="W169" s="117" t="e">
        <f>SUMIFS(#REF!,#REF!,$C$144&amp;W$62)</f>
        <v>#REF!</v>
      </c>
      <c r="X169" s="117" t="e">
        <f>SUMIFS(#REF!,#REF!,$C$144&amp;X$62)</f>
        <v>#REF!</v>
      </c>
      <c r="Y169" s="117" t="e">
        <f>SUMIFS(#REF!,#REF!,$C$144&amp;Y$62)</f>
        <v>#REF!</v>
      </c>
      <c r="Z169" s="117" t="e">
        <f>SUMIFS(#REF!,#REF!,$C$144&amp;Z$62)</f>
        <v>#REF!</v>
      </c>
      <c r="AA169" s="117" t="e">
        <f>SUMIFS(#REF!,#REF!,$C$144&amp;AA$62)</f>
        <v>#REF!</v>
      </c>
      <c r="AB169" s="117" t="e">
        <f>SUMIFS(#REF!,#REF!,$C$144&amp;AB$62)</f>
        <v>#REF!</v>
      </c>
      <c r="AC169" s="117" t="e">
        <f>SUMIFS(#REF!,#REF!,$C$144&amp;AC$62)</f>
        <v>#REF!</v>
      </c>
      <c r="AD169" s="117" t="e">
        <f>SUMIFS(#REF!,#REF!,$C$144&amp;AD$62)</f>
        <v>#REF!</v>
      </c>
      <c r="AE169" s="117" t="e">
        <f>SUMIFS(#REF!,#REF!,$C$144&amp;AE$62)</f>
        <v>#REF!</v>
      </c>
      <c r="AF169" s="117" t="e">
        <f>SUMIFS(#REF!,#REF!,$C$144&amp;AF$62)</f>
        <v>#REF!</v>
      </c>
      <c r="AG169" s="117" t="e">
        <f>SUMIFS(#REF!,#REF!,$C$144&amp;AG$62)</f>
        <v>#REF!</v>
      </c>
      <c r="AH169" s="117" t="e">
        <f>SUMIFS(#REF!,#REF!,$C$144&amp;AH$62)</f>
        <v>#REF!</v>
      </c>
      <c r="AI169" s="117" t="e">
        <f>SUMIFS(#REF!,#REF!,$C$144&amp;AI$62)</f>
        <v>#REF!</v>
      </c>
      <c r="AJ169" s="117" t="e">
        <f>SUMIFS(#REF!,#REF!,$C$144&amp;AJ$62)</f>
        <v>#REF!</v>
      </c>
      <c r="AK169" s="56"/>
    </row>
    <row r="170" ht="19.5" hidden="1" customHeight="1" spans="1:37">
      <c r="A170" s="106"/>
      <c r="B170" s="106"/>
      <c r="C170" s="113"/>
      <c r="D170" s="39"/>
      <c r="E170" s="114" t="s">
        <v>43</v>
      </c>
      <c r="F170" s="118" t="e">
        <f t="shared" ref="F170:AJ170" si="69">F169/F166</f>
        <v>#REF!</v>
      </c>
      <c r="G170" s="119" t="e">
        <f t="shared" si="69"/>
        <v>#REF!</v>
      </c>
      <c r="H170" s="119" t="e">
        <f t="shared" si="69"/>
        <v>#REF!</v>
      </c>
      <c r="I170" s="119" t="e">
        <f t="shared" si="69"/>
        <v>#REF!</v>
      </c>
      <c r="J170" s="119" t="e">
        <f t="shared" si="69"/>
        <v>#REF!</v>
      </c>
      <c r="K170" s="119" t="e">
        <f t="shared" si="69"/>
        <v>#REF!</v>
      </c>
      <c r="L170" s="119" t="e">
        <f t="shared" si="69"/>
        <v>#REF!</v>
      </c>
      <c r="M170" s="119" t="e">
        <f t="shared" si="69"/>
        <v>#REF!</v>
      </c>
      <c r="N170" s="119" t="e">
        <f t="shared" si="69"/>
        <v>#REF!</v>
      </c>
      <c r="O170" s="119" t="e">
        <f t="shared" si="69"/>
        <v>#REF!</v>
      </c>
      <c r="P170" s="119" t="e">
        <f t="shared" si="69"/>
        <v>#REF!</v>
      </c>
      <c r="Q170" s="119" t="e">
        <f t="shared" si="69"/>
        <v>#REF!</v>
      </c>
      <c r="R170" s="119" t="e">
        <f t="shared" si="69"/>
        <v>#REF!</v>
      </c>
      <c r="S170" s="119" t="e">
        <f t="shared" si="69"/>
        <v>#REF!</v>
      </c>
      <c r="T170" s="119" t="e">
        <f t="shared" si="69"/>
        <v>#REF!</v>
      </c>
      <c r="U170" s="119" t="e">
        <f t="shared" si="69"/>
        <v>#REF!</v>
      </c>
      <c r="V170" s="119" t="e">
        <f t="shared" si="69"/>
        <v>#REF!</v>
      </c>
      <c r="W170" s="119" t="e">
        <f t="shared" si="69"/>
        <v>#REF!</v>
      </c>
      <c r="X170" s="119" t="e">
        <f t="shared" si="69"/>
        <v>#REF!</v>
      </c>
      <c r="Y170" s="119" t="e">
        <f t="shared" si="69"/>
        <v>#REF!</v>
      </c>
      <c r="Z170" s="119" t="e">
        <f t="shared" si="69"/>
        <v>#REF!</v>
      </c>
      <c r="AA170" s="119" t="e">
        <f t="shared" si="69"/>
        <v>#REF!</v>
      </c>
      <c r="AB170" s="119" t="e">
        <f t="shared" si="69"/>
        <v>#REF!</v>
      </c>
      <c r="AC170" s="119" t="e">
        <f t="shared" si="69"/>
        <v>#REF!</v>
      </c>
      <c r="AD170" s="119" t="e">
        <f t="shared" si="69"/>
        <v>#REF!</v>
      </c>
      <c r="AE170" s="119" t="e">
        <f t="shared" si="69"/>
        <v>#REF!</v>
      </c>
      <c r="AF170" s="119" t="e">
        <f t="shared" si="69"/>
        <v>#REF!</v>
      </c>
      <c r="AG170" s="119" t="e">
        <f t="shared" si="69"/>
        <v>#REF!</v>
      </c>
      <c r="AH170" s="119" t="e">
        <f t="shared" si="69"/>
        <v>#REF!</v>
      </c>
      <c r="AI170" s="119" t="e">
        <f t="shared" si="69"/>
        <v>#REF!</v>
      </c>
      <c r="AJ170" s="119" t="e">
        <f t="shared" si="69"/>
        <v>#REF!</v>
      </c>
      <c r="AK170" s="119"/>
    </row>
    <row r="171" ht="19.5" hidden="1" customHeight="1" spans="1:37">
      <c r="A171" s="106"/>
      <c r="B171" s="106"/>
      <c r="C171" s="113"/>
      <c r="D171" s="39"/>
      <c r="E171" s="114" t="s">
        <v>47</v>
      </c>
      <c r="F171" s="104">
        <f t="shared" ref="F171:AJ171" si="70">IFERROR(I331/F169,0)</f>
        <v>0</v>
      </c>
      <c r="G171" s="104">
        <f t="shared" si="70"/>
        <v>0</v>
      </c>
      <c r="H171" s="104">
        <f t="shared" si="70"/>
        <v>0</v>
      </c>
      <c r="I171" s="104">
        <f t="shared" si="70"/>
        <v>0</v>
      </c>
      <c r="J171" s="104">
        <f t="shared" si="70"/>
        <v>0</v>
      </c>
      <c r="K171" s="104">
        <f t="shared" si="70"/>
        <v>0</v>
      </c>
      <c r="L171" s="104">
        <f t="shared" si="70"/>
        <v>0</v>
      </c>
      <c r="M171" s="104">
        <f t="shared" si="70"/>
        <v>0</v>
      </c>
      <c r="N171" s="104">
        <f t="shared" si="70"/>
        <v>0</v>
      </c>
      <c r="O171" s="104">
        <f t="shared" si="70"/>
        <v>0</v>
      </c>
      <c r="P171" s="104">
        <f t="shared" si="70"/>
        <v>0</v>
      </c>
      <c r="Q171" s="104">
        <f t="shared" si="70"/>
        <v>0</v>
      </c>
      <c r="R171" s="104">
        <f t="shared" si="70"/>
        <v>0</v>
      </c>
      <c r="S171" s="104">
        <f t="shared" si="70"/>
        <v>0</v>
      </c>
      <c r="T171" s="104">
        <f t="shared" si="70"/>
        <v>0</v>
      </c>
      <c r="U171" s="104">
        <f t="shared" si="70"/>
        <v>0</v>
      </c>
      <c r="V171" s="104">
        <f t="shared" si="70"/>
        <v>0</v>
      </c>
      <c r="W171" s="104">
        <f t="shared" si="70"/>
        <v>0</v>
      </c>
      <c r="X171" s="104">
        <f t="shared" si="70"/>
        <v>0</v>
      </c>
      <c r="Y171" s="104">
        <f t="shared" si="70"/>
        <v>0</v>
      </c>
      <c r="Z171" s="104">
        <f t="shared" si="70"/>
        <v>0</v>
      </c>
      <c r="AA171" s="104">
        <f t="shared" si="70"/>
        <v>0</v>
      </c>
      <c r="AB171" s="104">
        <f t="shared" si="70"/>
        <v>0</v>
      </c>
      <c r="AC171" s="104">
        <f t="shared" si="70"/>
        <v>0</v>
      </c>
      <c r="AD171" s="104">
        <f t="shared" si="70"/>
        <v>0</v>
      </c>
      <c r="AE171" s="104">
        <f t="shared" si="70"/>
        <v>0</v>
      </c>
      <c r="AF171" s="104">
        <f t="shared" si="70"/>
        <v>0</v>
      </c>
      <c r="AG171" s="104">
        <f t="shared" si="70"/>
        <v>0</v>
      </c>
      <c r="AH171" s="104">
        <f t="shared" si="70"/>
        <v>0</v>
      </c>
      <c r="AI171" s="104">
        <f t="shared" si="70"/>
        <v>0</v>
      </c>
      <c r="AJ171" s="104">
        <f t="shared" si="70"/>
        <v>0</v>
      </c>
      <c r="AK171" s="48"/>
    </row>
    <row r="172" ht="19.5" hidden="1" customHeight="1" spans="1:37">
      <c r="A172" s="105">
        <f>F173*F174</f>
        <v>0</v>
      </c>
      <c r="B172" s="106"/>
      <c r="C172" s="113"/>
      <c r="D172" s="108" t="s">
        <v>96</v>
      </c>
      <c r="E172" s="115" t="s">
        <v>82</v>
      </c>
      <c r="F172" s="110">
        <f>SUM(G172:AK172)</f>
        <v>124</v>
      </c>
      <c r="G172" s="111">
        <v>6</v>
      </c>
      <c r="H172" s="111">
        <v>4</v>
      </c>
      <c r="I172" s="111">
        <v>5</v>
      </c>
      <c r="J172" s="111">
        <v>5</v>
      </c>
      <c r="K172" s="111">
        <v>4</v>
      </c>
      <c r="L172" s="111">
        <v>5</v>
      </c>
      <c r="M172" s="111">
        <v>4</v>
      </c>
      <c r="N172" s="111">
        <v>4</v>
      </c>
      <c r="O172" s="111">
        <v>4</v>
      </c>
      <c r="P172" s="111">
        <v>4</v>
      </c>
      <c r="Q172" s="111">
        <v>4</v>
      </c>
      <c r="R172" s="111">
        <v>4</v>
      </c>
      <c r="S172" s="111">
        <v>4</v>
      </c>
      <c r="T172" s="111">
        <v>5</v>
      </c>
      <c r="U172" s="111">
        <v>5</v>
      </c>
      <c r="V172" s="111">
        <v>6</v>
      </c>
      <c r="W172" s="111">
        <v>5</v>
      </c>
      <c r="X172" s="111">
        <v>7</v>
      </c>
      <c r="Y172" s="111">
        <v>4</v>
      </c>
      <c r="Z172" s="111">
        <v>5</v>
      </c>
      <c r="AA172" s="111">
        <v>3</v>
      </c>
      <c r="AB172" s="111">
        <v>3</v>
      </c>
      <c r="AC172" s="111">
        <v>3</v>
      </c>
      <c r="AD172" s="111">
        <v>3</v>
      </c>
      <c r="AE172" s="111">
        <v>3</v>
      </c>
      <c r="AF172" s="111">
        <v>3</v>
      </c>
      <c r="AG172" s="111">
        <v>3</v>
      </c>
      <c r="AH172" s="111">
        <v>3</v>
      </c>
      <c r="AI172" s="111">
        <v>3</v>
      </c>
      <c r="AJ172" s="111">
        <v>3</v>
      </c>
      <c r="AK172" s="111"/>
    </row>
    <row r="173" ht="19.5" hidden="1" customHeight="1" spans="1:37">
      <c r="A173" s="112">
        <f>A172/$A$208</f>
        <v>0</v>
      </c>
      <c r="B173" s="112">
        <f>F173/$F$209</f>
        <v>0.0429143641707043</v>
      </c>
      <c r="C173" s="113"/>
      <c r="D173" s="39"/>
      <c r="E173" s="114" t="s">
        <v>41</v>
      </c>
      <c r="F173" s="110">
        <f>SUM(G173:AK173)</f>
        <v>30256</v>
      </c>
      <c r="G173" s="56">
        <v>1464</v>
      </c>
      <c r="H173" s="56">
        <v>976</v>
      </c>
      <c r="I173" s="56">
        <v>1220</v>
      </c>
      <c r="J173" s="56">
        <v>1220</v>
      </c>
      <c r="K173" s="56">
        <v>976</v>
      </c>
      <c r="L173" s="56">
        <v>1220</v>
      </c>
      <c r="M173" s="56">
        <v>976</v>
      </c>
      <c r="N173" s="56">
        <v>976</v>
      </c>
      <c r="O173" s="56">
        <v>976</v>
      </c>
      <c r="P173" s="56">
        <v>976</v>
      </c>
      <c r="Q173" s="56">
        <v>976</v>
      </c>
      <c r="R173" s="56">
        <v>976</v>
      </c>
      <c r="S173" s="56">
        <v>976</v>
      </c>
      <c r="T173" s="56">
        <v>1220</v>
      </c>
      <c r="U173" s="56">
        <v>1220</v>
      </c>
      <c r="V173" s="56">
        <v>1464</v>
      </c>
      <c r="W173" s="56">
        <v>1220</v>
      </c>
      <c r="X173" s="56">
        <v>1708</v>
      </c>
      <c r="Y173" s="56">
        <v>976</v>
      </c>
      <c r="Z173" s="56">
        <v>1220</v>
      </c>
      <c r="AA173" s="56">
        <v>732</v>
      </c>
      <c r="AB173" s="56">
        <v>732</v>
      </c>
      <c r="AC173" s="56">
        <v>732</v>
      </c>
      <c r="AD173" s="56">
        <v>732</v>
      </c>
      <c r="AE173" s="56">
        <v>732</v>
      </c>
      <c r="AF173" s="56">
        <v>732</v>
      </c>
      <c r="AG173" s="56">
        <v>732</v>
      </c>
      <c r="AH173" s="56">
        <v>732</v>
      </c>
      <c r="AI173" s="56">
        <v>732</v>
      </c>
      <c r="AJ173" s="56">
        <v>732</v>
      </c>
      <c r="AK173" s="56"/>
    </row>
    <row r="174" ht="19.5" hidden="1" customHeight="1" spans="1:37">
      <c r="A174" s="106"/>
      <c r="B174" s="106"/>
      <c r="C174" s="113"/>
      <c r="D174" s="39"/>
      <c r="E174" s="115" t="s">
        <v>46</v>
      </c>
      <c r="F174" s="120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  <c r="X174" s="116"/>
      <c r="Y174" s="116"/>
      <c r="Z174" s="116"/>
      <c r="AA174" s="116"/>
      <c r="AB174" s="116"/>
      <c r="AC174" s="116"/>
      <c r="AD174" s="116"/>
      <c r="AE174" s="116"/>
      <c r="AF174" s="116"/>
      <c r="AG174" s="116"/>
      <c r="AH174" s="116"/>
      <c r="AI174" s="116"/>
      <c r="AJ174" s="116"/>
      <c r="AK174" s="116"/>
    </row>
    <row r="175" ht="19.5" hidden="1" customHeight="1" spans="1:37">
      <c r="A175" s="106"/>
      <c r="B175" s="106"/>
      <c r="C175" s="113"/>
      <c r="D175" s="39"/>
      <c r="E175" s="114" t="s">
        <v>85</v>
      </c>
      <c r="F175" s="42" t="e">
        <f>SUM(G175:AK175)</f>
        <v>#REF!</v>
      </c>
      <c r="G175" s="117" t="e">
        <f>SUMIFS(#REF!,#REF!,$C$144&amp;G$62)</f>
        <v>#REF!</v>
      </c>
      <c r="H175" s="117" t="e">
        <f>SUMIFS(#REF!,#REF!,$C$144&amp;H$62)</f>
        <v>#REF!</v>
      </c>
      <c r="I175" s="117" t="e">
        <f>SUMIFS(#REF!,#REF!,$C$144&amp;I$62)</f>
        <v>#REF!</v>
      </c>
      <c r="J175" s="117" t="e">
        <f>SUMIFS(#REF!,#REF!,$C$144&amp;J$62)</f>
        <v>#REF!</v>
      </c>
      <c r="K175" s="117" t="e">
        <f>SUMIFS(#REF!,#REF!,$C$144&amp;K$62)</f>
        <v>#REF!</v>
      </c>
      <c r="L175" s="117" t="e">
        <f>SUMIFS(#REF!,#REF!,$C$144&amp;L$62)</f>
        <v>#REF!</v>
      </c>
      <c r="M175" s="117" t="e">
        <f>SUMIFS(#REF!,#REF!,$C$144&amp;M$62)</f>
        <v>#REF!</v>
      </c>
      <c r="N175" s="117" t="e">
        <f>SUMIFS(#REF!,#REF!,$C$144&amp;N$62)</f>
        <v>#REF!</v>
      </c>
      <c r="O175" s="117" t="e">
        <f>SUMIFS(#REF!,#REF!,$C$144&amp;O$62)</f>
        <v>#REF!</v>
      </c>
      <c r="P175" s="117" t="e">
        <f>SUMIFS(#REF!,#REF!,$C$144&amp;P$62)</f>
        <v>#REF!</v>
      </c>
      <c r="Q175" s="117" t="e">
        <f>SUMIFS(#REF!,#REF!,$C$144&amp;Q$62)</f>
        <v>#REF!</v>
      </c>
      <c r="R175" s="117" t="e">
        <f>SUMIFS(#REF!,#REF!,$C$144&amp;R$62)</f>
        <v>#REF!</v>
      </c>
      <c r="S175" s="117" t="e">
        <f>SUMIFS(#REF!,#REF!,$C$144&amp;S$62)</f>
        <v>#REF!</v>
      </c>
      <c r="T175" s="117" t="e">
        <f>SUMIFS(#REF!,#REF!,$C$144&amp;T$62)</f>
        <v>#REF!</v>
      </c>
      <c r="U175" s="117" t="e">
        <f>SUMIFS(#REF!,#REF!,$C$144&amp;U$62)</f>
        <v>#REF!</v>
      </c>
      <c r="V175" s="117" t="e">
        <f>SUMIFS(#REF!,#REF!,$C$144&amp;V$62)</f>
        <v>#REF!</v>
      </c>
      <c r="W175" s="117" t="e">
        <f>SUMIFS(#REF!,#REF!,$C$144&amp;W$62)</f>
        <v>#REF!</v>
      </c>
      <c r="X175" s="117" t="e">
        <f>SUMIFS(#REF!,#REF!,$C$144&amp;X$62)</f>
        <v>#REF!</v>
      </c>
      <c r="Y175" s="117" t="e">
        <f>SUMIFS(#REF!,#REF!,$C$144&amp;Y$62)</f>
        <v>#REF!</v>
      </c>
      <c r="Z175" s="117" t="e">
        <f>SUMIFS(#REF!,#REF!,$C$144&amp;Z$62)</f>
        <v>#REF!</v>
      </c>
      <c r="AA175" s="117" t="e">
        <f>SUMIFS(#REF!,#REF!,$C$144&amp;AA$62)</f>
        <v>#REF!</v>
      </c>
      <c r="AB175" s="117" t="e">
        <f>SUMIFS(#REF!,#REF!,$C$144&amp;AB$62)</f>
        <v>#REF!</v>
      </c>
      <c r="AC175" s="117" t="e">
        <f>SUMIFS(#REF!,#REF!,$C$144&amp;AC$62)</f>
        <v>#REF!</v>
      </c>
      <c r="AD175" s="117" t="e">
        <f>SUMIFS(#REF!,#REF!,$C$144&amp;AD$62)</f>
        <v>#REF!</v>
      </c>
      <c r="AE175" s="117" t="e">
        <f>SUMIFS(#REF!,#REF!,$C$144&amp;AE$62)</f>
        <v>#REF!</v>
      </c>
      <c r="AF175" s="117" t="e">
        <f>SUMIFS(#REF!,#REF!,$C$144&amp;AF$62)</f>
        <v>#REF!</v>
      </c>
      <c r="AG175" s="117" t="e">
        <f>SUMIFS(#REF!,#REF!,$C$144&amp;AG$62)</f>
        <v>#REF!</v>
      </c>
      <c r="AH175" s="117" t="e">
        <f>SUMIFS(#REF!,#REF!,$C$144&amp;AH$62)</f>
        <v>#REF!</v>
      </c>
      <c r="AI175" s="117" t="e">
        <f>SUMIFS(#REF!,#REF!,$C$144&amp;AI$62)</f>
        <v>#REF!</v>
      </c>
      <c r="AJ175" s="117" t="e">
        <f>SUMIFS(#REF!,#REF!,$C$144&amp;AJ$62)</f>
        <v>#REF!</v>
      </c>
      <c r="AK175" s="56"/>
    </row>
    <row r="176" ht="19.5" hidden="1" customHeight="1" spans="1:37">
      <c r="A176" s="106"/>
      <c r="B176" s="112" t="e">
        <f>F176/$F$212</f>
        <v>#REF!</v>
      </c>
      <c r="C176" s="113"/>
      <c r="D176" s="39"/>
      <c r="E176" s="114" t="s">
        <v>86</v>
      </c>
      <c r="F176" s="42" t="e">
        <f>SUM(G176:AK176)</f>
        <v>#REF!</v>
      </c>
      <c r="G176" s="117" t="e">
        <f>SUMIFS(#REF!,#REF!,$C$144&amp;G$62)</f>
        <v>#REF!</v>
      </c>
      <c r="H176" s="117" t="e">
        <f>SUMIFS(#REF!,#REF!,$C$144&amp;H$62)</f>
        <v>#REF!</v>
      </c>
      <c r="I176" s="117" t="e">
        <f>SUMIFS(#REF!,#REF!,$C$144&amp;I$62)</f>
        <v>#REF!</v>
      </c>
      <c r="J176" s="117" t="e">
        <f>SUMIFS(#REF!,#REF!,$C$144&amp;J$62)</f>
        <v>#REF!</v>
      </c>
      <c r="K176" s="117" t="e">
        <f>SUMIFS(#REF!,#REF!,$C$144&amp;K$62)</f>
        <v>#REF!</v>
      </c>
      <c r="L176" s="117" t="e">
        <f>SUMIFS(#REF!,#REF!,$C$144&amp;L$62)</f>
        <v>#REF!</v>
      </c>
      <c r="M176" s="117" t="e">
        <f>SUMIFS(#REF!,#REF!,$C$144&amp;M$62)</f>
        <v>#REF!</v>
      </c>
      <c r="N176" s="117" t="e">
        <f>SUMIFS(#REF!,#REF!,$C$144&amp;N$62)</f>
        <v>#REF!</v>
      </c>
      <c r="O176" s="117" t="e">
        <f>SUMIFS(#REF!,#REF!,$C$144&amp;O$62)</f>
        <v>#REF!</v>
      </c>
      <c r="P176" s="117" t="e">
        <f>SUMIFS(#REF!,#REF!,$C$144&amp;P$62)</f>
        <v>#REF!</v>
      </c>
      <c r="Q176" s="117" t="e">
        <f>SUMIFS(#REF!,#REF!,$C$144&amp;Q$62)</f>
        <v>#REF!</v>
      </c>
      <c r="R176" s="117" t="e">
        <f>SUMIFS(#REF!,#REF!,$C$144&amp;R$62)</f>
        <v>#REF!</v>
      </c>
      <c r="S176" s="117" t="e">
        <f>SUMIFS(#REF!,#REF!,$C$144&amp;S$62)</f>
        <v>#REF!</v>
      </c>
      <c r="T176" s="117" t="e">
        <f>SUMIFS(#REF!,#REF!,$C$144&amp;T$62)</f>
        <v>#REF!</v>
      </c>
      <c r="U176" s="117" t="e">
        <f>SUMIFS(#REF!,#REF!,$C$144&amp;U$62)</f>
        <v>#REF!</v>
      </c>
      <c r="V176" s="117" t="e">
        <f>SUMIFS(#REF!,#REF!,$C$144&amp;V$62)</f>
        <v>#REF!</v>
      </c>
      <c r="W176" s="117" t="e">
        <f>SUMIFS(#REF!,#REF!,$C$144&amp;W$62)</f>
        <v>#REF!</v>
      </c>
      <c r="X176" s="117" t="e">
        <f>SUMIFS(#REF!,#REF!,$C$144&amp;X$62)</f>
        <v>#REF!</v>
      </c>
      <c r="Y176" s="117" t="e">
        <f>SUMIFS(#REF!,#REF!,$C$144&amp;Y$62)</f>
        <v>#REF!</v>
      </c>
      <c r="Z176" s="117" t="e">
        <f>SUMIFS(#REF!,#REF!,$C$144&amp;Z$62)</f>
        <v>#REF!</v>
      </c>
      <c r="AA176" s="117" t="e">
        <f>SUMIFS(#REF!,#REF!,$C$144&amp;AA$62)</f>
        <v>#REF!</v>
      </c>
      <c r="AB176" s="117" t="e">
        <f>SUMIFS(#REF!,#REF!,$C$144&amp;AB$62)</f>
        <v>#REF!</v>
      </c>
      <c r="AC176" s="117" t="e">
        <f>SUMIFS(#REF!,#REF!,$C$144&amp;AC$62)</f>
        <v>#REF!</v>
      </c>
      <c r="AD176" s="117" t="e">
        <f>SUMIFS(#REF!,#REF!,$C$144&amp;AD$62)</f>
        <v>#REF!</v>
      </c>
      <c r="AE176" s="117" t="e">
        <f>SUMIFS(#REF!,#REF!,$C$144&amp;AE$62)</f>
        <v>#REF!</v>
      </c>
      <c r="AF176" s="117" t="e">
        <f>SUMIFS(#REF!,#REF!,$C$144&amp;AF$62)</f>
        <v>#REF!</v>
      </c>
      <c r="AG176" s="117" t="e">
        <f>SUMIFS(#REF!,#REF!,$C$144&amp;AG$62)</f>
        <v>#REF!</v>
      </c>
      <c r="AH176" s="117" t="e">
        <f>SUMIFS(#REF!,#REF!,$C$144&amp;AH$62)</f>
        <v>#REF!</v>
      </c>
      <c r="AI176" s="117" t="e">
        <f>SUMIFS(#REF!,#REF!,$C$144&amp;AI$62)</f>
        <v>#REF!</v>
      </c>
      <c r="AJ176" s="117" t="e">
        <f>SUMIFS(#REF!,#REF!,$C$144&amp;AJ$62)</f>
        <v>#REF!</v>
      </c>
      <c r="AK176" s="56"/>
    </row>
    <row r="177" ht="19.5" hidden="1" customHeight="1" spans="1:37">
      <c r="A177" s="106"/>
      <c r="B177" s="106"/>
      <c r="C177" s="113"/>
      <c r="D177" s="39"/>
      <c r="E177" s="114" t="s">
        <v>43</v>
      </c>
      <c r="F177" s="118" t="e">
        <f t="shared" ref="F177:AJ177" si="71">F176/F173</f>
        <v>#REF!</v>
      </c>
      <c r="G177" s="119" t="e">
        <f t="shared" si="71"/>
        <v>#REF!</v>
      </c>
      <c r="H177" s="119" t="e">
        <f t="shared" si="71"/>
        <v>#REF!</v>
      </c>
      <c r="I177" s="119" t="e">
        <f t="shared" si="71"/>
        <v>#REF!</v>
      </c>
      <c r="J177" s="119" t="e">
        <f t="shared" si="71"/>
        <v>#REF!</v>
      </c>
      <c r="K177" s="119" t="e">
        <f t="shared" si="71"/>
        <v>#REF!</v>
      </c>
      <c r="L177" s="119" t="e">
        <f t="shared" si="71"/>
        <v>#REF!</v>
      </c>
      <c r="M177" s="119" t="e">
        <f t="shared" si="71"/>
        <v>#REF!</v>
      </c>
      <c r="N177" s="119" t="e">
        <f t="shared" si="71"/>
        <v>#REF!</v>
      </c>
      <c r="O177" s="119" t="e">
        <f t="shared" si="71"/>
        <v>#REF!</v>
      </c>
      <c r="P177" s="119" t="e">
        <f t="shared" si="71"/>
        <v>#REF!</v>
      </c>
      <c r="Q177" s="119" t="e">
        <f t="shared" si="71"/>
        <v>#REF!</v>
      </c>
      <c r="R177" s="119" t="e">
        <f t="shared" si="71"/>
        <v>#REF!</v>
      </c>
      <c r="S177" s="119" t="e">
        <f t="shared" si="71"/>
        <v>#REF!</v>
      </c>
      <c r="T177" s="119" t="e">
        <f t="shared" si="71"/>
        <v>#REF!</v>
      </c>
      <c r="U177" s="119" t="e">
        <f t="shared" si="71"/>
        <v>#REF!</v>
      </c>
      <c r="V177" s="119" t="e">
        <f t="shared" si="71"/>
        <v>#REF!</v>
      </c>
      <c r="W177" s="119" t="e">
        <f t="shared" si="71"/>
        <v>#REF!</v>
      </c>
      <c r="X177" s="119" t="e">
        <f t="shared" si="71"/>
        <v>#REF!</v>
      </c>
      <c r="Y177" s="119" t="e">
        <f t="shared" si="71"/>
        <v>#REF!</v>
      </c>
      <c r="Z177" s="119" t="e">
        <f t="shared" si="71"/>
        <v>#REF!</v>
      </c>
      <c r="AA177" s="119" t="e">
        <f t="shared" si="71"/>
        <v>#REF!</v>
      </c>
      <c r="AB177" s="119" t="e">
        <f t="shared" si="71"/>
        <v>#REF!</v>
      </c>
      <c r="AC177" s="119" t="e">
        <f t="shared" si="71"/>
        <v>#REF!</v>
      </c>
      <c r="AD177" s="119" t="e">
        <f t="shared" si="71"/>
        <v>#REF!</v>
      </c>
      <c r="AE177" s="119" t="e">
        <f t="shared" si="71"/>
        <v>#REF!</v>
      </c>
      <c r="AF177" s="119" t="e">
        <f t="shared" si="71"/>
        <v>#REF!</v>
      </c>
      <c r="AG177" s="119" t="e">
        <f t="shared" si="71"/>
        <v>#REF!</v>
      </c>
      <c r="AH177" s="119" t="e">
        <f t="shared" si="71"/>
        <v>#REF!</v>
      </c>
      <c r="AI177" s="119" t="e">
        <f t="shared" si="71"/>
        <v>#REF!</v>
      </c>
      <c r="AJ177" s="119" t="e">
        <f t="shared" si="71"/>
        <v>#REF!</v>
      </c>
      <c r="AK177" s="119"/>
    </row>
    <row r="178" ht="19.5" hidden="1" customHeight="1" spans="1:37">
      <c r="A178" s="106"/>
      <c r="B178" s="106"/>
      <c r="C178" s="113"/>
      <c r="D178" s="39"/>
      <c r="E178" s="114" t="s">
        <v>47</v>
      </c>
      <c r="F178" s="123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</row>
    <row r="179" ht="19.5" hidden="1" customHeight="1" spans="1:37">
      <c r="A179" s="105">
        <f>F180*F181</f>
        <v>0</v>
      </c>
      <c r="B179" s="106"/>
      <c r="C179" s="113"/>
      <c r="D179" s="108" t="s">
        <v>88</v>
      </c>
      <c r="E179" s="115" t="s">
        <v>82</v>
      </c>
      <c r="F179" s="110">
        <f>SUM(G179:AK179)</f>
        <v>75</v>
      </c>
      <c r="G179" s="111">
        <v>4</v>
      </c>
      <c r="H179" s="111">
        <v>2</v>
      </c>
      <c r="I179" s="111">
        <v>3</v>
      </c>
      <c r="J179" s="111">
        <v>3</v>
      </c>
      <c r="K179" s="111">
        <v>2</v>
      </c>
      <c r="L179" s="111">
        <v>3</v>
      </c>
      <c r="M179" s="111">
        <v>3</v>
      </c>
      <c r="N179" s="111">
        <v>2</v>
      </c>
      <c r="O179" s="111">
        <v>3</v>
      </c>
      <c r="P179" s="111">
        <v>2</v>
      </c>
      <c r="Q179" s="111">
        <v>2</v>
      </c>
      <c r="R179" s="111">
        <v>2</v>
      </c>
      <c r="S179" s="111">
        <v>2</v>
      </c>
      <c r="T179" s="111">
        <v>3</v>
      </c>
      <c r="U179" s="111">
        <v>3</v>
      </c>
      <c r="V179" s="111">
        <v>4</v>
      </c>
      <c r="W179" s="111">
        <v>3</v>
      </c>
      <c r="X179" s="111">
        <v>4</v>
      </c>
      <c r="Y179" s="111">
        <v>2</v>
      </c>
      <c r="Z179" s="111">
        <v>3</v>
      </c>
      <c r="AA179" s="111">
        <v>2</v>
      </c>
      <c r="AB179" s="111">
        <v>2</v>
      </c>
      <c r="AC179" s="111">
        <v>2</v>
      </c>
      <c r="AD179" s="111">
        <v>2</v>
      </c>
      <c r="AE179" s="111">
        <v>2</v>
      </c>
      <c r="AF179" s="111">
        <v>2</v>
      </c>
      <c r="AG179" s="111">
        <v>2</v>
      </c>
      <c r="AH179" s="111">
        <v>2</v>
      </c>
      <c r="AI179" s="111">
        <v>2</v>
      </c>
      <c r="AJ179" s="111">
        <v>2</v>
      </c>
      <c r="AK179" s="111"/>
    </row>
    <row r="180" ht="19.5" hidden="1" customHeight="1" spans="1:37">
      <c r="A180" s="112">
        <f>A179/$A$208</f>
        <v>0</v>
      </c>
      <c r="B180" s="112">
        <f>F180/$F$209</f>
        <v>0.0530826969555992</v>
      </c>
      <c r="C180" s="113"/>
      <c r="D180" s="39"/>
      <c r="E180" s="114" t="s">
        <v>41</v>
      </c>
      <c r="F180" s="110">
        <f>SUM(G180:AK180)</f>
        <v>37425</v>
      </c>
      <c r="G180" s="56">
        <v>1996</v>
      </c>
      <c r="H180" s="56">
        <v>998</v>
      </c>
      <c r="I180" s="56">
        <v>1497</v>
      </c>
      <c r="J180" s="56">
        <v>1497</v>
      </c>
      <c r="K180" s="56">
        <v>998</v>
      </c>
      <c r="L180" s="56">
        <v>1497</v>
      </c>
      <c r="M180" s="56">
        <v>1497</v>
      </c>
      <c r="N180" s="56">
        <v>998</v>
      </c>
      <c r="O180" s="56">
        <v>1497</v>
      </c>
      <c r="P180" s="56">
        <v>998</v>
      </c>
      <c r="Q180" s="56">
        <v>998</v>
      </c>
      <c r="R180" s="56">
        <v>998</v>
      </c>
      <c r="S180" s="56">
        <v>998</v>
      </c>
      <c r="T180" s="56">
        <v>1497</v>
      </c>
      <c r="U180" s="56">
        <v>1497</v>
      </c>
      <c r="V180" s="56">
        <v>1996</v>
      </c>
      <c r="W180" s="56">
        <v>1497</v>
      </c>
      <c r="X180" s="56">
        <v>1996</v>
      </c>
      <c r="Y180" s="56">
        <v>998</v>
      </c>
      <c r="Z180" s="56">
        <v>1497</v>
      </c>
      <c r="AA180" s="56">
        <v>998</v>
      </c>
      <c r="AB180" s="56">
        <v>998</v>
      </c>
      <c r="AC180" s="56">
        <v>998</v>
      </c>
      <c r="AD180" s="56">
        <v>998</v>
      </c>
      <c r="AE180" s="56">
        <v>998</v>
      </c>
      <c r="AF180" s="56">
        <v>998</v>
      </c>
      <c r="AG180" s="56">
        <v>998</v>
      </c>
      <c r="AH180" s="56">
        <v>998</v>
      </c>
      <c r="AI180" s="56">
        <v>998</v>
      </c>
      <c r="AJ180" s="56">
        <v>998</v>
      </c>
      <c r="AK180" s="56"/>
    </row>
    <row r="181" ht="19.5" hidden="1" customHeight="1" spans="1:37">
      <c r="A181" s="106"/>
      <c r="B181" s="106"/>
      <c r="C181" s="113"/>
      <c r="D181" s="39"/>
      <c r="E181" s="115" t="s">
        <v>46</v>
      </c>
      <c r="F181" s="116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  <c r="X181" s="116"/>
      <c r="Y181" s="116"/>
      <c r="Z181" s="116"/>
      <c r="AA181" s="116"/>
      <c r="AB181" s="116"/>
      <c r="AC181" s="116"/>
      <c r="AD181" s="116"/>
      <c r="AE181" s="116"/>
      <c r="AF181" s="116"/>
      <c r="AG181" s="116"/>
      <c r="AH181" s="116"/>
      <c r="AI181" s="116"/>
      <c r="AJ181" s="116"/>
      <c r="AK181" s="116"/>
    </row>
    <row r="182" ht="19.5" hidden="1" customHeight="1" spans="1:37">
      <c r="A182" s="106"/>
      <c r="B182" s="106"/>
      <c r="C182" s="113"/>
      <c r="D182" s="39"/>
      <c r="E182" s="114" t="s">
        <v>85</v>
      </c>
      <c r="F182" s="42" t="e">
        <f>SUM(G182:AK182)</f>
        <v>#REF!</v>
      </c>
      <c r="G182" s="117" t="e">
        <f>SUMIFS(#REF!,#REF!,$C$144&amp;G$62)</f>
        <v>#REF!</v>
      </c>
      <c r="H182" s="117" t="e">
        <f>SUMIFS(#REF!,#REF!,$C$144&amp;H$62)</f>
        <v>#REF!</v>
      </c>
      <c r="I182" s="117" t="e">
        <f>SUMIFS(#REF!,#REF!,$C$144&amp;I$62)</f>
        <v>#REF!</v>
      </c>
      <c r="J182" s="117" t="e">
        <f>SUMIFS(#REF!,#REF!,$C$144&amp;J$62)</f>
        <v>#REF!</v>
      </c>
      <c r="K182" s="117" t="e">
        <f>SUMIFS(#REF!,#REF!,$C$144&amp;K$62)</f>
        <v>#REF!</v>
      </c>
      <c r="L182" s="117" t="e">
        <f>SUMIFS(#REF!,#REF!,$C$144&amp;L$62)</f>
        <v>#REF!</v>
      </c>
      <c r="M182" s="117" t="e">
        <f>SUMIFS(#REF!,#REF!,$C$144&amp;M$62)</f>
        <v>#REF!</v>
      </c>
      <c r="N182" s="117" t="e">
        <f>SUMIFS(#REF!,#REF!,$C$144&amp;N$62)</f>
        <v>#REF!</v>
      </c>
      <c r="O182" s="117" t="e">
        <f>SUMIFS(#REF!,#REF!,$C$144&amp;O$62)</f>
        <v>#REF!</v>
      </c>
      <c r="P182" s="117" t="e">
        <f>SUMIFS(#REF!,#REF!,$C$144&amp;P$62)</f>
        <v>#REF!</v>
      </c>
      <c r="Q182" s="117" t="e">
        <f>SUMIFS(#REF!,#REF!,$C$144&amp;Q$62)</f>
        <v>#REF!</v>
      </c>
      <c r="R182" s="117" t="e">
        <f>SUMIFS(#REF!,#REF!,$C$144&amp;R$62)</f>
        <v>#REF!</v>
      </c>
      <c r="S182" s="117" t="e">
        <f>SUMIFS(#REF!,#REF!,$C$144&amp;S$62)</f>
        <v>#REF!</v>
      </c>
      <c r="T182" s="117" t="e">
        <f>SUMIFS(#REF!,#REF!,$C$144&amp;T$62)</f>
        <v>#REF!</v>
      </c>
      <c r="U182" s="117" t="e">
        <f>SUMIFS(#REF!,#REF!,$C$144&amp;U$62)</f>
        <v>#REF!</v>
      </c>
      <c r="V182" s="117" t="e">
        <f>SUMIFS(#REF!,#REF!,$C$144&amp;V$62)</f>
        <v>#REF!</v>
      </c>
      <c r="W182" s="117" t="e">
        <f>SUMIFS(#REF!,#REF!,$C$144&amp;W$62)</f>
        <v>#REF!</v>
      </c>
      <c r="X182" s="117" t="e">
        <f>SUMIFS(#REF!,#REF!,$C$144&amp;X$62)</f>
        <v>#REF!</v>
      </c>
      <c r="Y182" s="117" t="e">
        <f>SUMIFS(#REF!,#REF!,$C$144&amp;Y$62)</f>
        <v>#REF!</v>
      </c>
      <c r="Z182" s="117" t="e">
        <f>SUMIFS(#REF!,#REF!,$C$144&amp;Z$62)</f>
        <v>#REF!</v>
      </c>
      <c r="AA182" s="117" t="e">
        <f>SUMIFS(#REF!,#REF!,$C$144&amp;AA$62)</f>
        <v>#REF!</v>
      </c>
      <c r="AB182" s="117" t="e">
        <f>SUMIFS(#REF!,#REF!,$C$144&amp;AB$62)</f>
        <v>#REF!</v>
      </c>
      <c r="AC182" s="117" t="e">
        <f>SUMIFS(#REF!,#REF!,$C$144&amp;AC$62)</f>
        <v>#REF!</v>
      </c>
      <c r="AD182" s="117" t="e">
        <f>SUMIFS(#REF!,#REF!,$C$144&amp;AD$62)</f>
        <v>#REF!</v>
      </c>
      <c r="AE182" s="117" t="e">
        <f>SUMIFS(#REF!,#REF!,$C$144&amp;AE$62)</f>
        <v>#REF!</v>
      </c>
      <c r="AF182" s="117" t="e">
        <f>SUMIFS(#REF!,#REF!,$C$144&amp;AF$62)</f>
        <v>#REF!</v>
      </c>
      <c r="AG182" s="117" t="e">
        <f>SUMIFS(#REF!,#REF!,$C$144&amp;AG$62)</f>
        <v>#REF!</v>
      </c>
      <c r="AH182" s="117" t="e">
        <f>SUMIFS(#REF!,#REF!,$C$144&amp;AH$62)</f>
        <v>#REF!</v>
      </c>
      <c r="AI182" s="117" t="e">
        <f>SUMIFS(#REF!,#REF!,$C$144&amp;AI$62)</f>
        <v>#REF!</v>
      </c>
      <c r="AJ182" s="117" t="e">
        <f>SUMIFS(#REF!,#REF!,$C$144&amp;AJ$62)</f>
        <v>#REF!</v>
      </c>
      <c r="AK182" s="56"/>
    </row>
    <row r="183" ht="19.5" hidden="1" customHeight="1" spans="1:37">
      <c r="A183" s="106"/>
      <c r="B183" s="112" t="e">
        <f>F183/$F$212</f>
        <v>#REF!</v>
      </c>
      <c r="C183" s="113"/>
      <c r="D183" s="39"/>
      <c r="E183" s="114" t="s">
        <v>86</v>
      </c>
      <c r="F183" s="42" t="e">
        <f>SUM(G183:AK183)</f>
        <v>#REF!</v>
      </c>
      <c r="G183" s="117" t="e">
        <f>SUMIFS(#REF!,#REF!,$C$144&amp;G$62)</f>
        <v>#REF!</v>
      </c>
      <c r="H183" s="117" t="e">
        <f>SUMIFS(#REF!,#REF!,$C$144&amp;H$62)</f>
        <v>#REF!</v>
      </c>
      <c r="I183" s="117" t="e">
        <f>SUMIFS(#REF!,#REF!,$C$144&amp;I$62)</f>
        <v>#REF!</v>
      </c>
      <c r="J183" s="117" t="e">
        <f>SUMIFS(#REF!,#REF!,$C$144&amp;J$62)</f>
        <v>#REF!</v>
      </c>
      <c r="K183" s="117" t="e">
        <f>SUMIFS(#REF!,#REF!,$C$144&amp;K$62)</f>
        <v>#REF!</v>
      </c>
      <c r="L183" s="117" t="e">
        <f>SUMIFS(#REF!,#REF!,$C$144&amp;L$62)</f>
        <v>#REF!</v>
      </c>
      <c r="M183" s="117" t="e">
        <f>SUMIFS(#REF!,#REF!,$C$144&amp;M$62)</f>
        <v>#REF!</v>
      </c>
      <c r="N183" s="117" t="e">
        <f>SUMIFS(#REF!,#REF!,$C$144&amp;N$62)</f>
        <v>#REF!</v>
      </c>
      <c r="O183" s="117" t="e">
        <f>SUMIFS(#REF!,#REF!,$C$144&amp;O$62)</f>
        <v>#REF!</v>
      </c>
      <c r="P183" s="117" t="e">
        <f>SUMIFS(#REF!,#REF!,$C$144&amp;P$62)</f>
        <v>#REF!</v>
      </c>
      <c r="Q183" s="117" t="e">
        <f>SUMIFS(#REF!,#REF!,$C$144&amp;Q$62)</f>
        <v>#REF!</v>
      </c>
      <c r="R183" s="117" t="e">
        <f>SUMIFS(#REF!,#REF!,$C$144&amp;R$62)</f>
        <v>#REF!</v>
      </c>
      <c r="S183" s="117" t="e">
        <f>SUMIFS(#REF!,#REF!,$C$144&amp;S$62)</f>
        <v>#REF!</v>
      </c>
      <c r="T183" s="117" t="e">
        <f>SUMIFS(#REF!,#REF!,$C$144&amp;T$62)</f>
        <v>#REF!</v>
      </c>
      <c r="U183" s="117" t="e">
        <f>SUMIFS(#REF!,#REF!,$C$144&amp;U$62)</f>
        <v>#REF!</v>
      </c>
      <c r="V183" s="117" t="e">
        <f>SUMIFS(#REF!,#REF!,$C$144&amp;V$62)</f>
        <v>#REF!</v>
      </c>
      <c r="W183" s="117" t="e">
        <f>SUMIFS(#REF!,#REF!,$C$144&amp;W$62)</f>
        <v>#REF!</v>
      </c>
      <c r="X183" s="117" t="e">
        <f>SUMIFS(#REF!,#REF!,$C$144&amp;X$62)</f>
        <v>#REF!</v>
      </c>
      <c r="Y183" s="117" t="e">
        <f>SUMIFS(#REF!,#REF!,$C$144&amp;Y$62)</f>
        <v>#REF!</v>
      </c>
      <c r="Z183" s="117" t="e">
        <f>SUMIFS(#REF!,#REF!,$C$144&amp;Z$62)</f>
        <v>#REF!</v>
      </c>
      <c r="AA183" s="117" t="e">
        <f>SUMIFS(#REF!,#REF!,$C$144&amp;AA$62)</f>
        <v>#REF!</v>
      </c>
      <c r="AB183" s="117" t="e">
        <f>SUMIFS(#REF!,#REF!,$C$144&amp;AB$62)</f>
        <v>#REF!</v>
      </c>
      <c r="AC183" s="117" t="e">
        <f>SUMIFS(#REF!,#REF!,$C$144&amp;AC$62)</f>
        <v>#REF!</v>
      </c>
      <c r="AD183" s="117" t="e">
        <f>SUMIFS(#REF!,#REF!,$C$144&amp;AD$62)</f>
        <v>#REF!</v>
      </c>
      <c r="AE183" s="117" t="e">
        <f>SUMIFS(#REF!,#REF!,$C$144&amp;AE$62)</f>
        <v>#REF!</v>
      </c>
      <c r="AF183" s="117" t="e">
        <f>SUMIFS(#REF!,#REF!,$C$144&amp;AF$62)</f>
        <v>#REF!</v>
      </c>
      <c r="AG183" s="117" t="e">
        <f>SUMIFS(#REF!,#REF!,$C$144&amp;AG$62)</f>
        <v>#REF!</v>
      </c>
      <c r="AH183" s="117" t="e">
        <f>SUMIFS(#REF!,#REF!,$C$144&amp;AH$62)</f>
        <v>#REF!</v>
      </c>
      <c r="AI183" s="117" t="e">
        <f>SUMIFS(#REF!,#REF!,$C$144&amp;AI$62)</f>
        <v>#REF!</v>
      </c>
      <c r="AJ183" s="117" t="e">
        <f>SUMIFS(#REF!,#REF!,$C$144&amp;AJ$62)</f>
        <v>#REF!</v>
      </c>
      <c r="AK183" s="56"/>
    </row>
    <row r="184" ht="19.5" hidden="1" customHeight="1" spans="1:37">
      <c r="A184" s="106"/>
      <c r="B184" s="106"/>
      <c r="C184" s="113"/>
      <c r="D184" s="39"/>
      <c r="E184" s="114" t="s">
        <v>43</v>
      </c>
      <c r="F184" s="118" t="e">
        <f t="shared" ref="F184:AJ184" si="72">F183/F180</f>
        <v>#REF!</v>
      </c>
      <c r="G184" s="119" t="e">
        <f t="shared" si="72"/>
        <v>#REF!</v>
      </c>
      <c r="H184" s="119" t="e">
        <f t="shared" si="72"/>
        <v>#REF!</v>
      </c>
      <c r="I184" s="119" t="e">
        <f t="shared" si="72"/>
        <v>#REF!</v>
      </c>
      <c r="J184" s="119" t="e">
        <f t="shared" si="72"/>
        <v>#REF!</v>
      </c>
      <c r="K184" s="119" t="e">
        <f t="shared" si="72"/>
        <v>#REF!</v>
      </c>
      <c r="L184" s="119" t="e">
        <f t="shared" si="72"/>
        <v>#REF!</v>
      </c>
      <c r="M184" s="119" t="e">
        <f t="shared" si="72"/>
        <v>#REF!</v>
      </c>
      <c r="N184" s="119" t="e">
        <f t="shared" si="72"/>
        <v>#REF!</v>
      </c>
      <c r="O184" s="119" t="e">
        <f t="shared" si="72"/>
        <v>#REF!</v>
      </c>
      <c r="P184" s="119" t="e">
        <f t="shared" si="72"/>
        <v>#REF!</v>
      </c>
      <c r="Q184" s="119" t="e">
        <f t="shared" si="72"/>
        <v>#REF!</v>
      </c>
      <c r="R184" s="119" t="e">
        <f t="shared" si="72"/>
        <v>#REF!</v>
      </c>
      <c r="S184" s="119" t="e">
        <f t="shared" si="72"/>
        <v>#REF!</v>
      </c>
      <c r="T184" s="119" t="e">
        <f t="shared" si="72"/>
        <v>#REF!</v>
      </c>
      <c r="U184" s="119" t="e">
        <f t="shared" si="72"/>
        <v>#REF!</v>
      </c>
      <c r="V184" s="119" t="e">
        <f t="shared" si="72"/>
        <v>#REF!</v>
      </c>
      <c r="W184" s="119" t="e">
        <f t="shared" si="72"/>
        <v>#REF!</v>
      </c>
      <c r="X184" s="119" t="e">
        <f t="shared" si="72"/>
        <v>#REF!</v>
      </c>
      <c r="Y184" s="119" t="e">
        <f t="shared" si="72"/>
        <v>#REF!</v>
      </c>
      <c r="Z184" s="119" t="e">
        <f t="shared" si="72"/>
        <v>#REF!</v>
      </c>
      <c r="AA184" s="119" t="e">
        <f t="shared" si="72"/>
        <v>#REF!</v>
      </c>
      <c r="AB184" s="119" t="e">
        <f t="shared" si="72"/>
        <v>#REF!</v>
      </c>
      <c r="AC184" s="119" t="e">
        <f t="shared" si="72"/>
        <v>#REF!</v>
      </c>
      <c r="AD184" s="119" t="e">
        <f t="shared" si="72"/>
        <v>#REF!</v>
      </c>
      <c r="AE184" s="119" t="e">
        <f t="shared" si="72"/>
        <v>#REF!</v>
      </c>
      <c r="AF184" s="119" t="e">
        <f t="shared" si="72"/>
        <v>#REF!</v>
      </c>
      <c r="AG184" s="119" t="e">
        <f t="shared" si="72"/>
        <v>#REF!</v>
      </c>
      <c r="AH184" s="119" t="e">
        <f t="shared" si="72"/>
        <v>#REF!</v>
      </c>
      <c r="AI184" s="119" t="e">
        <f t="shared" si="72"/>
        <v>#REF!</v>
      </c>
      <c r="AJ184" s="119" t="e">
        <f t="shared" si="72"/>
        <v>#REF!</v>
      </c>
      <c r="AK184" s="119"/>
    </row>
    <row r="185" ht="19.5" hidden="1" customHeight="1" spans="1:37">
      <c r="A185" s="106"/>
      <c r="B185" s="106"/>
      <c r="C185" s="113"/>
      <c r="D185" s="39"/>
      <c r="E185" s="114" t="s">
        <v>47</v>
      </c>
      <c r="F185" s="104"/>
      <c r="G185" s="104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48"/>
      <c r="AI185" s="48"/>
      <c r="AJ185" s="48"/>
      <c r="AK185" s="48"/>
    </row>
    <row r="186" ht="19.5" hidden="1" customHeight="1" spans="1:37">
      <c r="A186" s="105">
        <f>F187*F188</f>
        <v>0</v>
      </c>
      <c r="B186" s="106"/>
      <c r="C186" s="113"/>
      <c r="D186" s="108" t="s">
        <v>87</v>
      </c>
      <c r="E186" s="115" t="s">
        <v>82</v>
      </c>
      <c r="F186" s="110">
        <f>SUM(G186:AK186)</f>
        <v>129</v>
      </c>
      <c r="G186" s="111">
        <v>7</v>
      </c>
      <c r="H186" s="111">
        <v>4</v>
      </c>
      <c r="I186" s="111">
        <v>5</v>
      </c>
      <c r="J186" s="111">
        <v>5</v>
      </c>
      <c r="K186" s="111">
        <v>4</v>
      </c>
      <c r="L186" s="111">
        <v>5</v>
      </c>
      <c r="M186" s="111">
        <v>5</v>
      </c>
      <c r="N186" s="111">
        <v>4</v>
      </c>
      <c r="O186" s="111">
        <v>5</v>
      </c>
      <c r="P186" s="111">
        <v>4</v>
      </c>
      <c r="Q186" s="111">
        <v>4</v>
      </c>
      <c r="R186" s="111">
        <v>4</v>
      </c>
      <c r="S186" s="111">
        <v>4</v>
      </c>
      <c r="T186" s="111">
        <v>5</v>
      </c>
      <c r="U186" s="111">
        <v>5</v>
      </c>
      <c r="V186" s="111">
        <v>7</v>
      </c>
      <c r="W186" s="111">
        <v>5</v>
      </c>
      <c r="X186" s="111">
        <v>8</v>
      </c>
      <c r="Y186" s="111">
        <v>4</v>
      </c>
      <c r="Z186" s="111">
        <v>5</v>
      </c>
      <c r="AA186" s="111">
        <v>3</v>
      </c>
      <c r="AB186" s="111">
        <v>3</v>
      </c>
      <c r="AC186" s="111">
        <v>3</v>
      </c>
      <c r="AD186" s="111">
        <v>3</v>
      </c>
      <c r="AE186" s="111">
        <v>3</v>
      </c>
      <c r="AF186" s="111">
        <v>3</v>
      </c>
      <c r="AG186" s="111">
        <v>3</v>
      </c>
      <c r="AH186" s="111">
        <v>3</v>
      </c>
      <c r="AI186" s="111">
        <v>3</v>
      </c>
      <c r="AJ186" s="111">
        <v>3</v>
      </c>
      <c r="AK186" s="111"/>
    </row>
    <row r="187" ht="19.5" hidden="1" customHeight="1" spans="1:37">
      <c r="A187" s="112">
        <f>A186/$A$208</f>
        <v>0</v>
      </c>
      <c r="B187" s="112">
        <f>F187/$F$209</f>
        <v>0.10959928060003</v>
      </c>
      <c r="C187" s="113"/>
      <c r="D187" s="39"/>
      <c r="E187" s="114" t="s">
        <v>41</v>
      </c>
      <c r="F187" s="110">
        <f>SUM(G187:AK187)</f>
        <v>77271</v>
      </c>
      <c r="G187" s="56">
        <v>4193</v>
      </c>
      <c r="H187" s="56">
        <v>2396</v>
      </c>
      <c r="I187" s="56">
        <v>2995</v>
      </c>
      <c r="J187" s="56">
        <v>2995</v>
      </c>
      <c r="K187" s="56">
        <v>2396</v>
      </c>
      <c r="L187" s="56">
        <v>2995</v>
      </c>
      <c r="M187" s="56">
        <v>2995</v>
      </c>
      <c r="N187" s="56">
        <v>2396</v>
      </c>
      <c r="O187" s="56">
        <v>2995</v>
      </c>
      <c r="P187" s="56">
        <v>2396</v>
      </c>
      <c r="Q187" s="56">
        <v>2396</v>
      </c>
      <c r="R187" s="56">
        <v>2396</v>
      </c>
      <c r="S187" s="56">
        <v>2396</v>
      </c>
      <c r="T187" s="56">
        <v>2995</v>
      </c>
      <c r="U187" s="56">
        <v>2995</v>
      </c>
      <c r="V187" s="56">
        <v>4193</v>
      </c>
      <c r="W187" s="56">
        <v>2995</v>
      </c>
      <c r="X187" s="56">
        <v>4792</v>
      </c>
      <c r="Y187" s="56">
        <v>2396</v>
      </c>
      <c r="Z187" s="56">
        <v>2995</v>
      </c>
      <c r="AA187" s="56">
        <v>1797</v>
      </c>
      <c r="AB187" s="56">
        <v>1797</v>
      </c>
      <c r="AC187" s="56">
        <v>1797</v>
      </c>
      <c r="AD187" s="56">
        <v>1797</v>
      </c>
      <c r="AE187" s="56">
        <v>1797</v>
      </c>
      <c r="AF187" s="56">
        <v>1797</v>
      </c>
      <c r="AG187" s="56">
        <v>1797</v>
      </c>
      <c r="AH187" s="56">
        <v>1797</v>
      </c>
      <c r="AI187" s="56">
        <v>1797</v>
      </c>
      <c r="AJ187" s="56">
        <v>1797</v>
      </c>
      <c r="AK187" s="56"/>
    </row>
    <row r="188" ht="19.5" hidden="1" customHeight="1" spans="1:37">
      <c r="A188" s="106"/>
      <c r="B188" s="106"/>
      <c r="C188" s="113"/>
      <c r="D188" s="39"/>
      <c r="E188" s="115" t="s">
        <v>46</v>
      </c>
      <c r="F188" s="116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  <c r="X188" s="116"/>
      <c r="Y188" s="116"/>
      <c r="Z188" s="116"/>
      <c r="AA188" s="116"/>
      <c r="AB188" s="116"/>
      <c r="AC188" s="116"/>
      <c r="AD188" s="116"/>
      <c r="AE188" s="116"/>
      <c r="AF188" s="116"/>
      <c r="AG188" s="116"/>
      <c r="AH188" s="116"/>
      <c r="AI188" s="116"/>
      <c r="AJ188" s="116"/>
      <c r="AK188" s="116"/>
    </row>
    <row r="189" ht="19.5" hidden="1" customHeight="1" spans="1:37">
      <c r="A189" s="106"/>
      <c r="B189" s="106"/>
      <c r="C189" s="113"/>
      <c r="D189" s="39"/>
      <c r="E189" s="114" t="s">
        <v>85</v>
      </c>
      <c r="F189" s="42" t="e">
        <f>SUM(G189:AK189)</f>
        <v>#REF!</v>
      </c>
      <c r="G189" s="117" t="e">
        <f>SUMIFS(#REF!,#REF!,$C$144&amp;G$62)</f>
        <v>#REF!</v>
      </c>
      <c r="H189" s="117" t="e">
        <f>SUMIFS(#REF!,#REF!,$C$144&amp;H$62)</f>
        <v>#REF!</v>
      </c>
      <c r="I189" s="117" t="e">
        <f>SUMIFS(#REF!,#REF!,$C$144&amp;I$62)</f>
        <v>#REF!</v>
      </c>
      <c r="J189" s="117" t="e">
        <f>SUMIFS(#REF!,#REF!,$C$144&amp;J$62)</f>
        <v>#REF!</v>
      </c>
      <c r="K189" s="117" t="e">
        <f>SUMIFS(#REF!,#REF!,$C$144&amp;K$62)</f>
        <v>#REF!</v>
      </c>
      <c r="L189" s="117" t="e">
        <f>SUMIFS(#REF!,#REF!,$C$144&amp;L$62)</f>
        <v>#REF!</v>
      </c>
      <c r="M189" s="117" t="e">
        <f>SUMIFS(#REF!,#REF!,$C$144&amp;M$62)</f>
        <v>#REF!</v>
      </c>
      <c r="N189" s="117" t="e">
        <f>SUMIFS(#REF!,#REF!,$C$144&amp;N$62)</f>
        <v>#REF!</v>
      </c>
      <c r="O189" s="117" t="e">
        <f>SUMIFS(#REF!,#REF!,$C$144&amp;O$62)</f>
        <v>#REF!</v>
      </c>
      <c r="P189" s="117" t="e">
        <f>SUMIFS(#REF!,#REF!,$C$144&amp;P$62)</f>
        <v>#REF!</v>
      </c>
      <c r="Q189" s="117" t="e">
        <f>SUMIFS(#REF!,#REF!,$C$144&amp;Q$62)</f>
        <v>#REF!</v>
      </c>
      <c r="R189" s="117" t="e">
        <f>SUMIFS(#REF!,#REF!,$C$144&amp;R$62)</f>
        <v>#REF!</v>
      </c>
      <c r="S189" s="117" t="e">
        <f>SUMIFS(#REF!,#REF!,$C$144&amp;S$62)</f>
        <v>#REF!</v>
      </c>
      <c r="T189" s="117" t="e">
        <f>SUMIFS(#REF!,#REF!,$C$144&amp;T$62)</f>
        <v>#REF!</v>
      </c>
      <c r="U189" s="117" t="e">
        <f>SUMIFS(#REF!,#REF!,$C$144&amp;U$62)</f>
        <v>#REF!</v>
      </c>
      <c r="V189" s="117" t="e">
        <f>SUMIFS(#REF!,#REF!,$C$144&amp;V$62)</f>
        <v>#REF!</v>
      </c>
      <c r="W189" s="117" t="e">
        <f>SUMIFS(#REF!,#REF!,$C$144&amp;W$62)</f>
        <v>#REF!</v>
      </c>
      <c r="X189" s="117" t="e">
        <f>SUMIFS(#REF!,#REF!,$C$144&amp;X$62)</f>
        <v>#REF!</v>
      </c>
      <c r="Y189" s="117" t="e">
        <f>SUMIFS(#REF!,#REF!,$C$144&amp;Y$62)</f>
        <v>#REF!</v>
      </c>
      <c r="Z189" s="117" t="e">
        <f>SUMIFS(#REF!,#REF!,$C$144&amp;Z$62)</f>
        <v>#REF!</v>
      </c>
      <c r="AA189" s="117" t="e">
        <f>SUMIFS(#REF!,#REF!,$C$144&amp;AA$62)</f>
        <v>#REF!</v>
      </c>
      <c r="AB189" s="117" t="e">
        <f>SUMIFS(#REF!,#REF!,$C$144&amp;AB$62)</f>
        <v>#REF!</v>
      </c>
      <c r="AC189" s="117" t="e">
        <f>SUMIFS(#REF!,#REF!,$C$144&amp;AC$62)</f>
        <v>#REF!</v>
      </c>
      <c r="AD189" s="117" t="e">
        <f>SUMIFS(#REF!,#REF!,$C$144&amp;AD$62)</f>
        <v>#REF!</v>
      </c>
      <c r="AE189" s="117" t="e">
        <f>SUMIFS(#REF!,#REF!,$C$144&amp;AE$62)</f>
        <v>#REF!</v>
      </c>
      <c r="AF189" s="117" t="e">
        <f>SUMIFS(#REF!,#REF!,$C$144&amp;AF$62)</f>
        <v>#REF!</v>
      </c>
      <c r="AG189" s="117" t="e">
        <f>SUMIFS(#REF!,#REF!,$C$144&amp;AG$62)</f>
        <v>#REF!</v>
      </c>
      <c r="AH189" s="117" t="e">
        <f>SUMIFS(#REF!,#REF!,$C$144&amp;AH$62)</f>
        <v>#REF!</v>
      </c>
      <c r="AI189" s="117" t="e">
        <f>SUMIFS(#REF!,#REF!,$C$144&amp;AI$62)</f>
        <v>#REF!</v>
      </c>
      <c r="AJ189" s="117" t="e">
        <f>SUMIFS(#REF!,#REF!,$C$144&amp;AJ$62)</f>
        <v>#REF!</v>
      </c>
      <c r="AK189" s="56"/>
    </row>
    <row r="190" ht="19.5" hidden="1" customHeight="1" spans="1:37">
      <c r="A190" s="106"/>
      <c r="B190" s="112" t="e">
        <f>F190/$F$212</f>
        <v>#REF!</v>
      </c>
      <c r="C190" s="113"/>
      <c r="D190" s="39"/>
      <c r="E190" s="114" t="s">
        <v>86</v>
      </c>
      <c r="F190" s="42" t="e">
        <f>SUM(G190:AK190)</f>
        <v>#REF!</v>
      </c>
      <c r="G190" s="117" t="e">
        <f>SUMIFS(#REF!,#REF!,$C$144&amp;G$62)</f>
        <v>#REF!</v>
      </c>
      <c r="H190" s="117" t="e">
        <f>SUMIFS(#REF!,#REF!,$C$144&amp;H$62)</f>
        <v>#REF!</v>
      </c>
      <c r="I190" s="117" t="e">
        <f>SUMIFS(#REF!,#REF!,$C$144&amp;I$62)</f>
        <v>#REF!</v>
      </c>
      <c r="J190" s="117" t="e">
        <f>SUMIFS(#REF!,#REF!,$C$144&amp;J$62)</f>
        <v>#REF!</v>
      </c>
      <c r="K190" s="117" t="e">
        <f>SUMIFS(#REF!,#REF!,$C$144&amp;K$62)</f>
        <v>#REF!</v>
      </c>
      <c r="L190" s="117" t="e">
        <f>SUMIFS(#REF!,#REF!,$C$144&amp;L$62)</f>
        <v>#REF!</v>
      </c>
      <c r="M190" s="117" t="e">
        <f>SUMIFS(#REF!,#REF!,$C$144&amp;M$62)</f>
        <v>#REF!</v>
      </c>
      <c r="N190" s="117" t="e">
        <f>SUMIFS(#REF!,#REF!,$C$144&amp;N$62)</f>
        <v>#REF!</v>
      </c>
      <c r="O190" s="117" t="e">
        <f>SUMIFS(#REF!,#REF!,$C$144&amp;O$62)</f>
        <v>#REF!</v>
      </c>
      <c r="P190" s="117" t="e">
        <f>SUMIFS(#REF!,#REF!,$C$144&amp;P$62)</f>
        <v>#REF!</v>
      </c>
      <c r="Q190" s="117" t="e">
        <f>SUMIFS(#REF!,#REF!,$C$144&amp;Q$62)</f>
        <v>#REF!</v>
      </c>
      <c r="R190" s="117" t="e">
        <f>SUMIFS(#REF!,#REF!,$C$144&amp;R$62)</f>
        <v>#REF!</v>
      </c>
      <c r="S190" s="117" t="e">
        <f>SUMIFS(#REF!,#REF!,$C$144&amp;S$62)</f>
        <v>#REF!</v>
      </c>
      <c r="T190" s="117" t="e">
        <f>SUMIFS(#REF!,#REF!,$C$144&amp;T$62)</f>
        <v>#REF!</v>
      </c>
      <c r="U190" s="117" t="e">
        <f>SUMIFS(#REF!,#REF!,$C$144&amp;U$62)</f>
        <v>#REF!</v>
      </c>
      <c r="V190" s="117" t="e">
        <f>SUMIFS(#REF!,#REF!,$C$144&amp;V$62)</f>
        <v>#REF!</v>
      </c>
      <c r="W190" s="117" t="e">
        <f>SUMIFS(#REF!,#REF!,$C$144&amp;W$62)</f>
        <v>#REF!</v>
      </c>
      <c r="X190" s="117" t="e">
        <f>SUMIFS(#REF!,#REF!,$C$144&amp;X$62)</f>
        <v>#REF!</v>
      </c>
      <c r="Y190" s="117" t="e">
        <f>SUMIFS(#REF!,#REF!,$C$144&amp;Y$62)</f>
        <v>#REF!</v>
      </c>
      <c r="Z190" s="117" t="e">
        <f>SUMIFS(#REF!,#REF!,$C$144&amp;Z$62)</f>
        <v>#REF!</v>
      </c>
      <c r="AA190" s="117" t="e">
        <f>SUMIFS(#REF!,#REF!,$C$144&amp;AA$62)</f>
        <v>#REF!</v>
      </c>
      <c r="AB190" s="117" t="e">
        <f>SUMIFS(#REF!,#REF!,$C$144&amp;AB$62)</f>
        <v>#REF!</v>
      </c>
      <c r="AC190" s="117" t="e">
        <f>SUMIFS(#REF!,#REF!,$C$144&amp;AC$62)</f>
        <v>#REF!</v>
      </c>
      <c r="AD190" s="117" t="e">
        <f>SUMIFS(#REF!,#REF!,$C$144&amp;AD$62)</f>
        <v>#REF!</v>
      </c>
      <c r="AE190" s="117" t="e">
        <f>SUMIFS(#REF!,#REF!,$C$144&amp;AE$62)</f>
        <v>#REF!</v>
      </c>
      <c r="AF190" s="117" t="e">
        <f>SUMIFS(#REF!,#REF!,$C$144&amp;AF$62)</f>
        <v>#REF!</v>
      </c>
      <c r="AG190" s="117" t="e">
        <f>SUMIFS(#REF!,#REF!,$C$144&amp;AG$62)</f>
        <v>#REF!</v>
      </c>
      <c r="AH190" s="117" t="e">
        <f>SUMIFS(#REF!,#REF!,$C$144&amp;AH$62)</f>
        <v>#REF!</v>
      </c>
      <c r="AI190" s="117" t="e">
        <f>SUMIFS(#REF!,#REF!,$C$144&amp;AI$62)</f>
        <v>#REF!</v>
      </c>
      <c r="AJ190" s="117" t="e">
        <f>SUMIFS(#REF!,#REF!,$C$144&amp;AJ$62)</f>
        <v>#REF!</v>
      </c>
      <c r="AK190" s="56"/>
    </row>
    <row r="191" ht="19.5" hidden="1" customHeight="1" spans="1:37">
      <c r="A191" s="106"/>
      <c r="B191" s="106"/>
      <c r="C191" s="113"/>
      <c r="D191" s="39"/>
      <c r="E191" s="114" t="s">
        <v>43</v>
      </c>
      <c r="F191" s="118" t="e">
        <f t="shared" ref="F191:AJ191" si="73">F190/F187</f>
        <v>#REF!</v>
      </c>
      <c r="G191" s="119" t="e">
        <f t="shared" si="73"/>
        <v>#REF!</v>
      </c>
      <c r="H191" s="119" t="e">
        <f t="shared" si="73"/>
        <v>#REF!</v>
      </c>
      <c r="I191" s="119" t="e">
        <f t="shared" si="73"/>
        <v>#REF!</v>
      </c>
      <c r="J191" s="119" t="e">
        <f t="shared" si="73"/>
        <v>#REF!</v>
      </c>
      <c r="K191" s="119" t="e">
        <f t="shared" si="73"/>
        <v>#REF!</v>
      </c>
      <c r="L191" s="119" t="e">
        <f t="shared" si="73"/>
        <v>#REF!</v>
      </c>
      <c r="M191" s="119" t="e">
        <f t="shared" si="73"/>
        <v>#REF!</v>
      </c>
      <c r="N191" s="119" t="e">
        <f t="shared" si="73"/>
        <v>#REF!</v>
      </c>
      <c r="O191" s="119" t="e">
        <f t="shared" si="73"/>
        <v>#REF!</v>
      </c>
      <c r="P191" s="119" t="e">
        <f t="shared" si="73"/>
        <v>#REF!</v>
      </c>
      <c r="Q191" s="119" t="e">
        <f t="shared" si="73"/>
        <v>#REF!</v>
      </c>
      <c r="R191" s="119" t="e">
        <f t="shared" si="73"/>
        <v>#REF!</v>
      </c>
      <c r="S191" s="119" t="e">
        <f t="shared" si="73"/>
        <v>#REF!</v>
      </c>
      <c r="T191" s="119" t="e">
        <f t="shared" si="73"/>
        <v>#REF!</v>
      </c>
      <c r="U191" s="119" t="e">
        <f t="shared" si="73"/>
        <v>#REF!</v>
      </c>
      <c r="V191" s="119" t="e">
        <f t="shared" si="73"/>
        <v>#REF!</v>
      </c>
      <c r="W191" s="119" t="e">
        <f t="shared" si="73"/>
        <v>#REF!</v>
      </c>
      <c r="X191" s="119" t="e">
        <f t="shared" si="73"/>
        <v>#REF!</v>
      </c>
      <c r="Y191" s="119" t="e">
        <f t="shared" si="73"/>
        <v>#REF!</v>
      </c>
      <c r="Z191" s="119" t="e">
        <f t="shared" si="73"/>
        <v>#REF!</v>
      </c>
      <c r="AA191" s="119" t="e">
        <f t="shared" si="73"/>
        <v>#REF!</v>
      </c>
      <c r="AB191" s="119" t="e">
        <f t="shared" si="73"/>
        <v>#REF!</v>
      </c>
      <c r="AC191" s="119" t="e">
        <f t="shared" si="73"/>
        <v>#REF!</v>
      </c>
      <c r="AD191" s="119" t="e">
        <f t="shared" si="73"/>
        <v>#REF!</v>
      </c>
      <c r="AE191" s="119" t="e">
        <f t="shared" si="73"/>
        <v>#REF!</v>
      </c>
      <c r="AF191" s="119" t="e">
        <f t="shared" si="73"/>
        <v>#REF!</v>
      </c>
      <c r="AG191" s="119" t="e">
        <f t="shared" si="73"/>
        <v>#REF!</v>
      </c>
      <c r="AH191" s="119" t="e">
        <f t="shared" si="73"/>
        <v>#REF!</v>
      </c>
      <c r="AI191" s="119" t="e">
        <f t="shared" si="73"/>
        <v>#REF!</v>
      </c>
      <c r="AJ191" s="119" t="e">
        <f t="shared" si="73"/>
        <v>#REF!</v>
      </c>
      <c r="AK191" s="119"/>
    </row>
    <row r="192" ht="19.5" hidden="1" customHeight="1" spans="1:37">
      <c r="A192" s="106"/>
      <c r="B192" s="106"/>
      <c r="C192" s="113"/>
      <c r="D192" s="39"/>
      <c r="E192" s="114" t="s">
        <v>47</v>
      </c>
      <c r="F192" s="104">
        <f t="shared" ref="F192:AJ192" si="74">IFERROR(I344/F190,0)</f>
        <v>0</v>
      </c>
      <c r="G192" s="104">
        <f t="shared" si="74"/>
        <v>0</v>
      </c>
      <c r="H192" s="104">
        <f t="shared" si="74"/>
        <v>0</v>
      </c>
      <c r="I192" s="104">
        <f t="shared" si="74"/>
        <v>0</v>
      </c>
      <c r="J192" s="104">
        <f t="shared" si="74"/>
        <v>0</v>
      </c>
      <c r="K192" s="104">
        <f t="shared" si="74"/>
        <v>0</v>
      </c>
      <c r="L192" s="104">
        <f t="shared" si="74"/>
        <v>0</v>
      </c>
      <c r="M192" s="104">
        <f t="shared" si="74"/>
        <v>0</v>
      </c>
      <c r="N192" s="104">
        <f t="shared" si="74"/>
        <v>0</v>
      </c>
      <c r="O192" s="104">
        <f t="shared" si="74"/>
        <v>0</v>
      </c>
      <c r="P192" s="104">
        <f t="shared" si="74"/>
        <v>0</v>
      </c>
      <c r="Q192" s="104">
        <f t="shared" si="74"/>
        <v>0</v>
      </c>
      <c r="R192" s="104">
        <f t="shared" si="74"/>
        <v>0</v>
      </c>
      <c r="S192" s="104">
        <f t="shared" si="74"/>
        <v>0</v>
      </c>
      <c r="T192" s="104">
        <f t="shared" si="74"/>
        <v>0</v>
      </c>
      <c r="U192" s="104">
        <f t="shared" si="74"/>
        <v>0</v>
      </c>
      <c r="V192" s="104">
        <f t="shared" si="74"/>
        <v>0</v>
      </c>
      <c r="W192" s="104">
        <f t="shared" si="74"/>
        <v>0</v>
      </c>
      <c r="X192" s="104">
        <f t="shared" si="74"/>
        <v>0</v>
      </c>
      <c r="Y192" s="104">
        <f t="shared" si="74"/>
        <v>0</v>
      </c>
      <c r="Z192" s="104">
        <f t="shared" si="74"/>
        <v>0</v>
      </c>
      <c r="AA192" s="104">
        <f t="shared" si="74"/>
        <v>0</v>
      </c>
      <c r="AB192" s="104">
        <f t="shared" si="74"/>
        <v>0</v>
      </c>
      <c r="AC192" s="104">
        <f t="shared" si="74"/>
        <v>0</v>
      </c>
      <c r="AD192" s="104">
        <f t="shared" si="74"/>
        <v>0</v>
      </c>
      <c r="AE192" s="104">
        <f t="shared" si="74"/>
        <v>0</v>
      </c>
      <c r="AF192" s="104">
        <f t="shared" si="74"/>
        <v>0</v>
      </c>
      <c r="AG192" s="104">
        <f t="shared" si="74"/>
        <v>0</v>
      </c>
      <c r="AH192" s="104">
        <f t="shared" si="74"/>
        <v>0</v>
      </c>
      <c r="AI192" s="104">
        <f t="shared" si="74"/>
        <v>0</v>
      </c>
      <c r="AJ192" s="104">
        <f t="shared" si="74"/>
        <v>0</v>
      </c>
      <c r="AK192" s="48"/>
    </row>
    <row r="193" ht="19.5" hidden="1" customHeight="1" spans="1:37">
      <c r="A193" s="105">
        <f>F194*F196</f>
        <v>0</v>
      </c>
      <c r="B193" s="106"/>
      <c r="C193" s="113"/>
      <c r="D193" s="108" t="s">
        <v>92</v>
      </c>
      <c r="E193" s="115" t="s">
        <v>82</v>
      </c>
      <c r="F193" s="110">
        <f>SUM(G193:AK193)</f>
        <v>84</v>
      </c>
      <c r="G193" s="111">
        <v>4</v>
      </c>
      <c r="H193" s="111">
        <v>3</v>
      </c>
      <c r="I193" s="111">
        <v>3</v>
      </c>
      <c r="J193" s="111">
        <v>3</v>
      </c>
      <c r="K193" s="111">
        <v>3</v>
      </c>
      <c r="L193" s="111">
        <v>3</v>
      </c>
      <c r="M193" s="111">
        <v>3</v>
      </c>
      <c r="N193" s="111">
        <v>3</v>
      </c>
      <c r="O193" s="111">
        <v>3</v>
      </c>
      <c r="P193" s="111">
        <v>3</v>
      </c>
      <c r="Q193" s="111">
        <v>3</v>
      </c>
      <c r="R193" s="111">
        <v>3</v>
      </c>
      <c r="S193" s="111">
        <v>3</v>
      </c>
      <c r="T193" s="111">
        <v>3</v>
      </c>
      <c r="U193" s="111">
        <v>3</v>
      </c>
      <c r="V193" s="111">
        <v>4</v>
      </c>
      <c r="W193" s="111">
        <v>3</v>
      </c>
      <c r="X193" s="111">
        <v>5</v>
      </c>
      <c r="Y193" s="111">
        <v>3</v>
      </c>
      <c r="Z193" s="111">
        <v>3</v>
      </c>
      <c r="AA193" s="111">
        <v>2</v>
      </c>
      <c r="AB193" s="111">
        <v>2</v>
      </c>
      <c r="AC193" s="111">
        <v>2</v>
      </c>
      <c r="AD193" s="111">
        <v>2</v>
      </c>
      <c r="AE193" s="111">
        <v>2</v>
      </c>
      <c r="AF193" s="111">
        <v>2</v>
      </c>
      <c r="AG193" s="111">
        <v>2</v>
      </c>
      <c r="AH193" s="111">
        <v>2</v>
      </c>
      <c r="AI193" s="111">
        <v>2</v>
      </c>
      <c r="AJ193" s="111">
        <v>2</v>
      </c>
      <c r="AK193" s="111"/>
    </row>
    <row r="194" ht="19.5" hidden="1" customHeight="1" spans="1:37">
      <c r="A194" s="112">
        <f>A193/$A$208</f>
        <v>0</v>
      </c>
      <c r="B194" s="112">
        <f>F194/$F$209</f>
        <v>0.029071020889832</v>
      </c>
      <c r="C194" s="113"/>
      <c r="D194" s="39"/>
      <c r="E194" s="114" t="s">
        <v>41</v>
      </c>
      <c r="F194" s="110">
        <f>SUM(G194:AK194)</f>
        <v>20496</v>
      </c>
      <c r="G194" s="56">
        <v>976</v>
      </c>
      <c r="H194" s="56">
        <v>732</v>
      </c>
      <c r="I194" s="56">
        <v>732</v>
      </c>
      <c r="J194" s="56">
        <v>732</v>
      </c>
      <c r="K194" s="56">
        <v>732</v>
      </c>
      <c r="L194" s="56">
        <v>732</v>
      </c>
      <c r="M194" s="56">
        <v>732</v>
      </c>
      <c r="N194" s="56">
        <v>732</v>
      </c>
      <c r="O194" s="56">
        <v>732</v>
      </c>
      <c r="P194" s="56">
        <v>732</v>
      </c>
      <c r="Q194" s="56">
        <v>732</v>
      </c>
      <c r="R194" s="56">
        <v>732</v>
      </c>
      <c r="S194" s="56">
        <v>732</v>
      </c>
      <c r="T194" s="56">
        <v>732</v>
      </c>
      <c r="U194" s="56">
        <v>732</v>
      </c>
      <c r="V194" s="56">
        <v>976</v>
      </c>
      <c r="W194" s="56">
        <v>732</v>
      </c>
      <c r="X194" s="56">
        <v>1220</v>
      </c>
      <c r="Y194" s="56">
        <v>732</v>
      </c>
      <c r="Z194" s="56">
        <v>732</v>
      </c>
      <c r="AA194" s="56">
        <v>488</v>
      </c>
      <c r="AB194" s="56">
        <v>488</v>
      </c>
      <c r="AC194" s="56">
        <v>488</v>
      </c>
      <c r="AD194" s="56">
        <v>488</v>
      </c>
      <c r="AE194" s="56">
        <v>488</v>
      </c>
      <c r="AF194" s="56">
        <v>488</v>
      </c>
      <c r="AG194" s="56">
        <v>488</v>
      </c>
      <c r="AH194" s="56">
        <v>488</v>
      </c>
      <c r="AI194" s="56">
        <v>488</v>
      </c>
      <c r="AJ194" s="56">
        <v>488</v>
      </c>
      <c r="AK194" s="56"/>
    </row>
    <row r="195" ht="19.5" hidden="1" customHeight="1" spans="1:37">
      <c r="A195" s="106"/>
      <c r="B195" s="106"/>
      <c r="C195" s="113"/>
      <c r="D195" s="39"/>
      <c r="E195" s="115" t="s">
        <v>97</v>
      </c>
      <c r="F195" s="120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  <c r="X195" s="116"/>
      <c r="Y195" s="116"/>
      <c r="Z195" s="116"/>
      <c r="AA195" s="116"/>
      <c r="AB195" s="116"/>
      <c r="AC195" s="116"/>
      <c r="AD195" s="116"/>
      <c r="AE195" s="116"/>
      <c r="AF195" s="116"/>
      <c r="AG195" s="116"/>
      <c r="AH195" s="116"/>
      <c r="AI195" s="116"/>
      <c r="AJ195" s="116"/>
      <c r="AK195" s="116"/>
    </row>
    <row r="196" ht="19.5" hidden="1" customHeight="1" spans="1:37">
      <c r="A196" s="106"/>
      <c r="B196" s="106"/>
      <c r="C196" s="113"/>
      <c r="D196" s="39"/>
      <c r="E196" s="115" t="s">
        <v>46</v>
      </c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56"/>
      <c r="R196" s="56"/>
      <c r="S196" s="56"/>
      <c r="T196" s="56"/>
      <c r="U196" s="117"/>
      <c r="V196" s="117"/>
      <c r="W196" s="117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</row>
    <row r="197" ht="19.5" hidden="1" customHeight="1" spans="1:37">
      <c r="A197" s="106"/>
      <c r="B197" s="112" t="e">
        <f>F198/$F$212</f>
        <v>#REF!</v>
      </c>
      <c r="C197" s="113"/>
      <c r="D197" s="39"/>
      <c r="E197" s="114" t="s">
        <v>85</v>
      </c>
      <c r="F197" s="42" t="e">
        <f>SUM(G197:AK197)</f>
        <v>#REF!</v>
      </c>
      <c r="G197" s="117" t="e">
        <f>SUMIFS(#REF!,#REF!,$C$144&amp;G$62)</f>
        <v>#REF!</v>
      </c>
      <c r="H197" s="117" t="e">
        <f>SUMIFS(#REF!,#REF!,$C$144&amp;H$62)</f>
        <v>#REF!</v>
      </c>
      <c r="I197" s="117" t="e">
        <f>SUMIFS(#REF!,#REF!,$C$144&amp;I$62)</f>
        <v>#REF!</v>
      </c>
      <c r="J197" s="117" t="e">
        <f>SUMIFS(#REF!,#REF!,$C$144&amp;J$62)</f>
        <v>#REF!</v>
      </c>
      <c r="K197" s="117" t="e">
        <f>SUMIFS(#REF!,#REF!,$C$144&amp;K$62)</f>
        <v>#REF!</v>
      </c>
      <c r="L197" s="117" t="e">
        <f>SUMIFS(#REF!,#REF!,$C$144&amp;L$62)</f>
        <v>#REF!</v>
      </c>
      <c r="M197" s="117" t="e">
        <f>SUMIFS(#REF!,#REF!,$C$144&amp;M$62)</f>
        <v>#REF!</v>
      </c>
      <c r="N197" s="117" t="e">
        <f>SUMIFS(#REF!,#REF!,$C$144&amp;N$62)</f>
        <v>#REF!</v>
      </c>
      <c r="O197" s="117" t="e">
        <f>SUMIFS(#REF!,#REF!,$C$144&amp;O$62)</f>
        <v>#REF!</v>
      </c>
      <c r="P197" s="117" t="e">
        <f>SUMIFS(#REF!,#REF!,$C$144&amp;P$62)</f>
        <v>#REF!</v>
      </c>
      <c r="Q197" s="117" t="e">
        <f>SUMIFS(#REF!,#REF!,$C$144&amp;Q$62)</f>
        <v>#REF!</v>
      </c>
      <c r="R197" s="117" t="e">
        <f>SUMIFS(#REF!,#REF!,$C$144&amp;R$62)</f>
        <v>#REF!</v>
      </c>
      <c r="S197" s="117" t="e">
        <f>SUMIFS(#REF!,#REF!,$C$144&amp;S$62)</f>
        <v>#REF!</v>
      </c>
      <c r="T197" s="117" t="e">
        <f>SUMIFS(#REF!,#REF!,$C$144&amp;T$62)</f>
        <v>#REF!</v>
      </c>
      <c r="U197" s="117" t="e">
        <f>SUMIFS(#REF!,#REF!,$C$144&amp;U$62)</f>
        <v>#REF!</v>
      </c>
      <c r="V197" s="117" t="e">
        <f>SUMIFS(#REF!,#REF!,$C$144&amp;V$62)</f>
        <v>#REF!</v>
      </c>
      <c r="W197" s="117" t="e">
        <f>SUMIFS(#REF!,#REF!,$C$144&amp;W$62)</f>
        <v>#REF!</v>
      </c>
      <c r="X197" s="117" t="e">
        <f>SUMIFS(#REF!,#REF!,$C$144&amp;X$62)</f>
        <v>#REF!</v>
      </c>
      <c r="Y197" s="117" t="e">
        <f>SUMIFS(#REF!,#REF!,$C$144&amp;Y$62)</f>
        <v>#REF!</v>
      </c>
      <c r="Z197" s="117" t="e">
        <f>SUMIFS(#REF!,#REF!,$C$144&amp;Z$62)</f>
        <v>#REF!</v>
      </c>
      <c r="AA197" s="117" t="e">
        <f>SUMIFS(#REF!,#REF!,$C$144&amp;AA$62)</f>
        <v>#REF!</v>
      </c>
      <c r="AB197" s="117" t="e">
        <f>SUMIFS(#REF!,#REF!,$C$144&amp;AB$62)</f>
        <v>#REF!</v>
      </c>
      <c r="AC197" s="117" t="e">
        <f>SUMIFS(#REF!,#REF!,$C$144&amp;AC$62)</f>
        <v>#REF!</v>
      </c>
      <c r="AD197" s="117" t="e">
        <f>SUMIFS(#REF!,#REF!,$C$144&amp;AD$62)</f>
        <v>#REF!</v>
      </c>
      <c r="AE197" s="117" t="e">
        <f>SUMIFS(#REF!,#REF!,$C$144&amp;AE$62)</f>
        <v>#REF!</v>
      </c>
      <c r="AF197" s="117" t="e">
        <f>SUMIFS(#REF!,#REF!,$C$144&amp;AF$62)</f>
        <v>#REF!</v>
      </c>
      <c r="AG197" s="117" t="e">
        <f>SUMIFS(#REF!,#REF!,$C$144&amp;AG$62)</f>
        <v>#REF!</v>
      </c>
      <c r="AH197" s="117" t="e">
        <f>SUMIFS(#REF!,#REF!,$C$144&amp;AH$62)</f>
        <v>#REF!</v>
      </c>
      <c r="AI197" s="117" t="e">
        <f>SUMIFS(#REF!,#REF!,$C$144&amp;AI$62)</f>
        <v>#REF!</v>
      </c>
      <c r="AJ197" s="117" t="e">
        <f>SUMIFS(#REF!,#REF!,$C$144&amp;AJ$62)</f>
        <v>#REF!</v>
      </c>
      <c r="AK197" s="56"/>
    </row>
    <row r="198" ht="19.5" hidden="1" customHeight="1" spans="1:37">
      <c r="A198" s="106"/>
      <c r="B198" s="106"/>
      <c r="C198" s="113"/>
      <c r="D198" s="39"/>
      <c r="E198" s="114" t="s">
        <v>86</v>
      </c>
      <c r="F198" s="42" t="e">
        <f>SUM(G198:AK198)</f>
        <v>#REF!</v>
      </c>
      <c r="G198" s="117" t="e">
        <f>SUMIFS(#REF!,#REF!,$C$144&amp;G$62)</f>
        <v>#REF!</v>
      </c>
      <c r="H198" s="117" t="e">
        <f>SUMIFS(#REF!,#REF!,$C$144&amp;H$62)</f>
        <v>#REF!</v>
      </c>
      <c r="I198" s="117" t="e">
        <f>SUMIFS(#REF!,#REF!,$C$144&amp;I$62)</f>
        <v>#REF!</v>
      </c>
      <c r="J198" s="117" t="e">
        <f>SUMIFS(#REF!,#REF!,$C$144&amp;J$62)</f>
        <v>#REF!</v>
      </c>
      <c r="K198" s="117" t="e">
        <f>SUMIFS(#REF!,#REF!,$C$144&amp;K$62)</f>
        <v>#REF!</v>
      </c>
      <c r="L198" s="117" t="e">
        <f>SUMIFS(#REF!,#REF!,$C$144&amp;L$62)</f>
        <v>#REF!</v>
      </c>
      <c r="M198" s="117" t="e">
        <f>SUMIFS(#REF!,#REF!,$C$144&amp;M$62)</f>
        <v>#REF!</v>
      </c>
      <c r="N198" s="117" t="e">
        <f>SUMIFS(#REF!,#REF!,$C$144&amp;N$62)</f>
        <v>#REF!</v>
      </c>
      <c r="O198" s="117" t="e">
        <f>SUMIFS(#REF!,#REF!,$C$144&amp;O$62)</f>
        <v>#REF!</v>
      </c>
      <c r="P198" s="117" t="e">
        <f>SUMIFS(#REF!,#REF!,$C$144&amp;P$62)</f>
        <v>#REF!</v>
      </c>
      <c r="Q198" s="117" t="e">
        <f>SUMIFS(#REF!,#REF!,$C$144&amp;Q$62)</f>
        <v>#REF!</v>
      </c>
      <c r="R198" s="117" t="e">
        <f>SUMIFS(#REF!,#REF!,$C$144&amp;R$62)</f>
        <v>#REF!</v>
      </c>
      <c r="S198" s="117" t="e">
        <f>SUMIFS(#REF!,#REF!,$C$144&amp;S$62)</f>
        <v>#REF!</v>
      </c>
      <c r="T198" s="117" t="e">
        <f>SUMIFS(#REF!,#REF!,$C$144&amp;T$62)</f>
        <v>#REF!</v>
      </c>
      <c r="U198" s="117" t="e">
        <f>SUMIFS(#REF!,#REF!,$C$144&amp;U$62)</f>
        <v>#REF!</v>
      </c>
      <c r="V198" s="117" t="e">
        <f>SUMIFS(#REF!,#REF!,$C$144&amp;V$62)</f>
        <v>#REF!</v>
      </c>
      <c r="W198" s="117" t="e">
        <f>SUMIFS(#REF!,#REF!,$C$144&amp;W$62)</f>
        <v>#REF!</v>
      </c>
      <c r="X198" s="117" t="e">
        <f>SUMIFS(#REF!,#REF!,$C$144&amp;X$62)</f>
        <v>#REF!</v>
      </c>
      <c r="Y198" s="117" t="e">
        <f>SUMIFS(#REF!,#REF!,$C$144&amp;Y$62)</f>
        <v>#REF!</v>
      </c>
      <c r="Z198" s="117" t="e">
        <f>SUMIFS(#REF!,#REF!,$C$144&amp;Z$62)</f>
        <v>#REF!</v>
      </c>
      <c r="AA198" s="117" t="e">
        <f>SUMIFS(#REF!,#REF!,$C$144&amp;AA$62)</f>
        <v>#REF!</v>
      </c>
      <c r="AB198" s="117" t="e">
        <f>SUMIFS(#REF!,#REF!,$C$144&amp;AB$62)</f>
        <v>#REF!</v>
      </c>
      <c r="AC198" s="117" t="e">
        <f>SUMIFS(#REF!,#REF!,$C$144&amp;AC$62)</f>
        <v>#REF!</v>
      </c>
      <c r="AD198" s="117" t="e">
        <f>SUMIFS(#REF!,#REF!,$C$144&amp;AD$62)</f>
        <v>#REF!</v>
      </c>
      <c r="AE198" s="117" t="e">
        <f>SUMIFS(#REF!,#REF!,$C$144&amp;AE$62)</f>
        <v>#REF!</v>
      </c>
      <c r="AF198" s="117" t="e">
        <f>SUMIFS(#REF!,#REF!,$C$144&amp;AF$62)</f>
        <v>#REF!</v>
      </c>
      <c r="AG198" s="117" t="e">
        <f>SUMIFS(#REF!,#REF!,$C$144&amp;AG$62)</f>
        <v>#REF!</v>
      </c>
      <c r="AH198" s="117" t="e">
        <f>SUMIFS(#REF!,#REF!,$C$144&amp;AH$62)</f>
        <v>#REF!</v>
      </c>
      <c r="AI198" s="117" t="e">
        <f>SUMIFS(#REF!,#REF!,$C$144&amp;AI$62)</f>
        <v>#REF!</v>
      </c>
      <c r="AJ198" s="117" t="e">
        <f>SUMIFS(#REF!,#REF!,$C$144&amp;AJ$62)</f>
        <v>#REF!</v>
      </c>
      <c r="AK198" s="56"/>
    </row>
    <row r="199" ht="19.5" hidden="1" customHeight="1" spans="1:37">
      <c r="A199" s="106"/>
      <c r="B199" s="106"/>
      <c r="C199" s="113"/>
      <c r="D199" s="39"/>
      <c r="E199" s="114" t="s">
        <v>43</v>
      </c>
      <c r="F199" s="118" t="e">
        <f t="shared" ref="F199:AJ199" si="75">F198/F194</f>
        <v>#REF!</v>
      </c>
      <c r="G199" s="119" t="e">
        <f t="shared" si="75"/>
        <v>#REF!</v>
      </c>
      <c r="H199" s="119" t="e">
        <f t="shared" si="75"/>
        <v>#REF!</v>
      </c>
      <c r="I199" s="119" t="e">
        <f t="shared" si="75"/>
        <v>#REF!</v>
      </c>
      <c r="J199" s="119" t="e">
        <f t="shared" si="75"/>
        <v>#REF!</v>
      </c>
      <c r="K199" s="119" t="e">
        <f t="shared" si="75"/>
        <v>#REF!</v>
      </c>
      <c r="L199" s="119" t="e">
        <f t="shared" si="75"/>
        <v>#REF!</v>
      </c>
      <c r="M199" s="119" t="e">
        <f t="shared" si="75"/>
        <v>#REF!</v>
      </c>
      <c r="N199" s="119" t="e">
        <f t="shared" si="75"/>
        <v>#REF!</v>
      </c>
      <c r="O199" s="119" t="e">
        <f t="shared" si="75"/>
        <v>#REF!</v>
      </c>
      <c r="P199" s="119" t="e">
        <f t="shared" si="75"/>
        <v>#REF!</v>
      </c>
      <c r="Q199" s="119" t="e">
        <f t="shared" si="75"/>
        <v>#REF!</v>
      </c>
      <c r="R199" s="119" t="e">
        <f t="shared" si="75"/>
        <v>#REF!</v>
      </c>
      <c r="S199" s="119" t="e">
        <f t="shared" si="75"/>
        <v>#REF!</v>
      </c>
      <c r="T199" s="119" t="e">
        <f t="shared" si="75"/>
        <v>#REF!</v>
      </c>
      <c r="U199" s="119" t="e">
        <f t="shared" si="75"/>
        <v>#REF!</v>
      </c>
      <c r="V199" s="119" t="e">
        <f t="shared" si="75"/>
        <v>#REF!</v>
      </c>
      <c r="W199" s="119" t="e">
        <f t="shared" si="75"/>
        <v>#REF!</v>
      </c>
      <c r="X199" s="119" t="e">
        <f t="shared" si="75"/>
        <v>#REF!</v>
      </c>
      <c r="Y199" s="119" t="e">
        <f t="shared" si="75"/>
        <v>#REF!</v>
      </c>
      <c r="Z199" s="119" t="e">
        <f t="shared" si="75"/>
        <v>#REF!</v>
      </c>
      <c r="AA199" s="119" t="e">
        <f t="shared" si="75"/>
        <v>#REF!</v>
      </c>
      <c r="AB199" s="119" t="e">
        <f t="shared" si="75"/>
        <v>#REF!</v>
      </c>
      <c r="AC199" s="119" t="e">
        <f t="shared" si="75"/>
        <v>#REF!</v>
      </c>
      <c r="AD199" s="119" t="e">
        <f t="shared" si="75"/>
        <v>#REF!</v>
      </c>
      <c r="AE199" s="119" t="e">
        <f t="shared" si="75"/>
        <v>#REF!</v>
      </c>
      <c r="AF199" s="119" t="e">
        <f t="shared" si="75"/>
        <v>#REF!</v>
      </c>
      <c r="AG199" s="119" t="e">
        <f t="shared" si="75"/>
        <v>#REF!</v>
      </c>
      <c r="AH199" s="119" t="e">
        <f t="shared" si="75"/>
        <v>#REF!</v>
      </c>
      <c r="AI199" s="119" t="e">
        <f t="shared" si="75"/>
        <v>#REF!</v>
      </c>
      <c r="AJ199" s="119" t="e">
        <f t="shared" si="75"/>
        <v>#REF!</v>
      </c>
      <c r="AK199" s="119"/>
    </row>
    <row r="200" ht="19.5" hidden="1" customHeight="1" spans="1:37">
      <c r="A200" s="106"/>
      <c r="B200" s="106"/>
      <c r="C200" s="113"/>
      <c r="D200" s="39"/>
      <c r="E200" s="114" t="s">
        <v>47</v>
      </c>
      <c r="F200" s="123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</row>
    <row r="201" ht="19.5" hidden="1" customHeight="1" spans="1:37">
      <c r="A201" s="105">
        <f>F202*F203</f>
        <v>0</v>
      </c>
      <c r="B201" s="106"/>
      <c r="C201" s="113"/>
      <c r="D201" s="108" t="s">
        <v>93</v>
      </c>
      <c r="E201" s="115" t="s">
        <v>82</v>
      </c>
      <c r="F201" s="110">
        <f>SUM(G201:AK201)</f>
        <v>71</v>
      </c>
      <c r="G201" s="111">
        <v>3</v>
      </c>
      <c r="H201" s="111">
        <v>2</v>
      </c>
      <c r="I201" s="111">
        <v>3</v>
      </c>
      <c r="J201" s="111">
        <v>3</v>
      </c>
      <c r="K201" s="111">
        <v>2</v>
      </c>
      <c r="L201" s="111">
        <v>3</v>
      </c>
      <c r="M201" s="111">
        <v>2</v>
      </c>
      <c r="N201" s="111">
        <v>2</v>
      </c>
      <c r="O201" s="111">
        <v>2</v>
      </c>
      <c r="P201" s="111">
        <v>2</v>
      </c>
      <c r="Q201" s="111">
        <v>2</v>
      </c>
      <c r="R201" s="111">
        <v>2</v>
      </c>
      <c r="S201" s="111">
        <v>2</v>
      </c>
      <c r="T201" s="111">
        <v>3</v>
      </c>
      <c r="U201" s="111">
        <v>3</v>
      </c>
      <c r="V201" s="111">
        <v>3</v>
      </c>
      <c r="W201" s="111">
        <v>3</v>
      </c>
      <c r="X201" s="111">
        <v>4</v>
      </c>
      <c r="Y201" s="111">
        <v>2</v>
      </c>
      <c r="Z201" s="111">
        <v>3</v>
      </c>
      <c r="AA201" s="111">
        <v>2</v>
      </c>
      <c r="AB201" s="111">
        <v>2</v>
      </c>
      <c r="AC201" s="111">
        <v>2</v>
      </c>
      <c r="AD201" s="111">
        <v>2</v>
      </c>
      <c r="AE201" s="111">
        <v>2</v>
      </c>
      <c r="AF201" s="111">
        <v>2</v>
      </c>
      <c r="AG201" s="111">
        <v>2</v>
      </c>
      <c r="AH201" s="111">
        <v>2</v>
      </c>
      <c r="AI201" s="111">
        <v>2</v>
      </c>
      <c r="AJ201" s="111">
        <v>2</v>
      </c>
      <c r="AK201" s="111"/>
    </row>
    <row r="202" ht="19.5" hidden="1" customHeight="1" spans="1:37">
      <c r="A202" s="112">
        <f>A201/$A$208</f>
        <v>0</v>
      </c>
      <c r="B202" s="112">
        <f>F202/$F$209</f>
        <v>0.0215507948575384</v>
      </c>
      <c r="C202" s="113"/>
      <c r="D202" s="39"/>
      <c r="E202" s="114" t="s">
        <v>41</v>
      </c>
      <c r="F202" s="110">
        <f>SUM(G202:AK202)</f>
        <v>15194</v>
      </c>
      <c r="G202" s="56">
        <v>642</v>
      </c>
      <c r="H202" s="56">
        <v>428</v>
      </c>
      <c r="I202" s="56">
        <v>642</v>
      </c>
      <c r="J202" s="56">
        <v>642</v>
      </c>
      <c r="K202" s="56">
        <v>428</v>
      </c>
      <c r="L202" s="56">
        <v>642</v>
      </c>
      <c r="M202" s="56">
        <v>428</v>
      </c>
      <c r="N202" s="56">
        <v>428</v>
      </c>
      <c r="O202" s="56">
        <v>428</v>
      </c>
      <c r="P202" s="56">
        <v>428</v>
      </c>
      <c r="Q202" s="56">
        <v>428</v>
      </c>
      <c r="R202" s="56">
        <v>428</v>
      </c>
      <c r="S202" s="56">
        <v>428</v>
      </c>
      <c r="T202" s="56">
        <v>642</v>
      </c>
      <c r="U202" s="56">
        <v>642</v>
      </c>
      <c r="V202" s="56">
        <v>642</v>
      </c>
      <c r="W202" s="56">
        <v>642</v>
      </c>
      <c r="X202" s="56">
        <v>856</v>
      </c>
      <c r="Y202" s="56">
        <v>428</v>
      </c>
      <c r="Z202" s="56">
        <v>642</v>
      </c>
      <c r="AA202" s="56">
        <v>428</v>
      </c>
      <c r="AB202" s="56">
        <v>428</v>
      </c>
      <c r="AC202" s="56">
        <v>428</v>
      </c>
      <c r="AD202" s="56">
        <v>428</v>
      </c>
      <c r="AE202" s="56">
        <v>428</v>
      </c>
      <c r="AF202" s="56">
        <v>428</v>
      </c>
      <c r="AG202" s="56">
        <v>428</v>
      </c>
      <c r="AH202" s="56">
        <v>428</v>
      </c>
      <c r="AI202" s="56">
        <v>428</v>
      </c>
      <c r="AJ202" s="56">
        <v>428</v>
      </c>
      <c r="AK202" s="56"/>
    </row>
    <row r="203" ht="19.5" hidden="1" customHeight="1" spans="1:37">
      <c r="A203" s="106"/>
      <c r="B203" s="106"/>
      <c r="C203" s="113"/>
      <c r="D203" s="39"/>
      <c r="E203" s="115" t="s">
        <v>46</v>
      </c>
      <c r="F203" s="120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  <c r="X203" s="116"/>
      <c r="Y203" s="116"/>
      <c r="Z203" s="116"/>
      <c r="AA203" s="116"/>
      <c r="AB203" s="116"/>
      <c r="AC203" s="116"/>
      <c r="AD203" s="116"/>
      <c r="AE203" s="116"/>
      <c r="AF203" s="116"/>
      <c r="AG203" s="116"/>
      <c r="AH203" s="116"/>
      <c r="AI203" s="116"/>
      <c r="AJ203" s="116"/>
      <c r="AK203" s="116"/>
    </row>
    <row r="204" ht="19.5" hidden="1" customHeight="1" spans="1:37">
      <c r="A204" s="106"/>
      <c r="B204" s="106"/>
      <c r="C204" s="113"/>
      <c r="D204" s="39"/>
      <c r="E204" s="114" t="s">
        <v>85</v>
      </c>
      <c r="F204" s="42" t="e">
        <f>SUM(G204:AK204)</f>
        <v>#REF!</v>
      </c>
      <c r="G204" s="117" t="e">
        <f>SUMIFS(#REF!,#REF!,$C$144&amp;G$62)</f>
        <v>#REF!</v>
      </c>
      <c r="H204" s="117" t="e">
        <f>SUMIFS(#REF!,#REF!,$C$144&amp;H$62)</f>
        <v>#REF!</v>
      </c>
      <c r="I204" s="117" t="e">
        <f>SUMIFS(#REF!,#REF!,$C$144&amp;I$62)</f>
        <v>#REF!</v>
      </c>
      <c r="J204" s="117" t="e">
        <f>SUMIFS(#REF!,#REF!,$C$144&amp;J$62)</f>
        <v>#REF!</v>
      </c>
      <c r="K204" s="117" t="e">
        <f>SUMIFS(#REF!,#REF!,$C$144&amp;K$62)</f>
        <v>#REF!</v>
      </c>
      <c r="L204" s="117" t="e">
        <f>SUMIFS(#REF!,#REF!,$C$144&amp;L$62)</f>
        <v>#REF!</v>
      </c>
      <c r="M204" s="117" t="e">
        <f>SUMIFS(#REF!,#REF!,$C$144&amp;M$62)</f>
        <v>#REF!</v>
      </c>
      <c r="N204" s="117" t="e">
        <f>SUMIFS(#REF!,#REF!,$C$144&amp;N$62)</f>
        <v>#REF!</v>
      </c>
      <c r="O204" s="117" t="e">
        <f>SUMIFS(#REF!,#REF!,$C$144&amp;O$62)</f>
        <v>#REF!</v>
      </c>
      <c r="P204" s="117" t="e">
        <f>SUMIFS(#REF!,#REF!,$C$144&amp;P$62)</f>
        <v>#REF!</v>
      </c>
      <c r="Q204" s="117" t="e">
        <f>SUMIFS(#REF!,#REF!,$C$144&amp;Q$62)</f>
        <v>#REF!</v>
      </c>
      <c r="R204" s="117" t="e">
        <f>SUMIFS(#REF!,#REF!,$C$144&amp;R$62)</f>
        <v>#REF!</v>
      </c>
      <c r="S204" s="117" t="e">
        <f>SUMIFS(#REF!,#REF!,$C$144&amp;S$62)</f>
        <v>#REF!</v>
      </c>
      <c r="T204" s="117" t="e">
        <f>SUMIFS(#REF!,#REF!,$C$144&amp;T$62)</f>
        <v>#REF!</v>
      </c>
      <c r="U204" s="117" t="e">
        <f>SUMIFS(#REF!,#REF!,$C$144&amp;U$62)</f>
        <v>#REF!</v>
      </c>
      <c r="V204" s="117" t="e">
        <f>SUMIFS(#REF!,#REF!,$C$144&amp;V$62)</f>
        <v>#REF!</v>
      </c>
      <c r="W204" s="117" t="e">
        <f>SUMIFS(#REF!,#REF!,$C$144&amp;W$62)</f>
        <v>#REF!</v>
      </c>
      <c r="X204" s="117" t="e">
        <f>SUMIFS(#REF!,#REF!,$C$144&amp;X$62)</f>
        <v>#REF!</v>
      </c>
      <c r="Y204" s="117" t="e">
        <f>SUMIFS(#REF!,#REF!,$C$144&amp;Y$62)</f>
        <v>#REF!</v>
      </c>
      <c r="Z204" s="117" t="e">
        <f>SUMIFS(#REF!,#REF!,$C$144&amp;Z$62)</f>
        <v>#REF!</v>
      </c>
      <c r="AA204" s="117" t="e">
        <f>SUMIFS(#REF!,#REF!,$C$144&amp;AA$62)</f>
        <v>#REF!</v>
      </c>
      <c r="AB204" s="117" t="e">
        <f>SUMIFS(#REF!,#REF!,$C$144&amp;AB$62)</f>
        <v>#REF!</v>
      </c>
      <c r="AC204" s="117" t="e">
        <f>SUMIFS(#REF!,#REF!,$C$144&amp;AC$62)</f>
        <v>#REF!</v>
      </c>
      <c r="AD204" s="117" t="e">
        <f>SUMIFS(#REF!,#REF!,$C$144&amp;AD$62)</f>
        <v>#REF!</v>
      </c>
      <c r="AE204" s="117" t="e">
        <f>SUMIFS(#REF!,#REF!,$C$144&amp;AE$62)</f>
        <v>#REF!</v>
      </c>
      <c r="AF204" s="117" t="e">
        <f>SUMIFS(#REF!,#REF!,$C$144&amp;AF$62)</f>
        <v>#REF!</v>
      </c>
      <c r="AG204" s="117" t="e">
        <f>SUMIFS(#REF!,#REF!,$C$144&amp;AG$62)</f>
        <v>#REF!</v>
      </c>
      <c r="AH204" s="117" t="e">
        <f>SUMIFS(#REF!,#REF!,$C$144&amp;AH$62)</f>
        <v>#REF!</v>
      </c>
      <c r="AI204" s="117" t="e">
        <f>SUMIFS(#REF!,#REF!,$C$144&amp;AI$62)</f>
        <v>#REF!</v>
      </c>
      <c r="AJ204" s="117" t="e">
        <f>SUMIFS(#REF!,#REF!,$C$144&amp;AJ$62)</f>
        <v>#REF!</v>
      </c>
      <c r="AK204" s="56"/>
    </row>
    <row r="205" ht="19.5" hidden="1" customHeight="1" spans="1:37">
      <c r="A205" s="106"/>
      <c r="B205" s="112" t="e">
        <f>F205/$F$212</f>
        <v>#REF!</v>
      </c>
      <c r="C205" s="113"/>
      <c r="D205" s="39"/>
      <c r="E205" s="114" t="s">
        <v>86</v>
      </c>
      <c r="F205" s="42" t="e">
        <f>SUM(G205:AK205)</f>
        <v>#REF!</v>
      </c>
      <c r="G205" s="117" t="e">
        <f>SUMIFS(#REF!,#REF!,$C$144&amp;G$62)</f>
        <v>#REF!</v>
      </c>
      <c r="H205" s="117" t="e">
        <f>SUMIFS(#REF!,#REF!,$C$144&amp;H$62)</f>
        <v>#REF!</v>
      </c>
      <c r="I205" s="117" t="e">
        <f>SUMIFS(#REF!,#REF!,$C$144&amp;I$62)</f>
        <v>#REF!</v>
      </c>
      <c r="J205" s="117" t="e">
        <f>SUMIFS(#REF!,#REF!,$C$144&amp;J$62)</f>
        <v>#REF!</v>
      </c>
      <c r="K205" s="117" t="e">
        <f>SUMIFS(#REF!,#REF!,$C$144&amp;K$62)</f>
        <v>#REF!</v>
      </c>
      <c r="L205" s="117" t="e">
        <f>SUMIFS(#REF!,#REF!,$C$144&amp;L$62)</f>
        <v>#REF!</v>
      </c>
      <c r="M205" s="117" t="e">
        <f>SUMIFS(#REF!,#REF!,$C$144&amp;M$62)</f>
        <v>#REF!</v>
      </c>
      <c r="N205" s="117" t="e">
        <f>SUMIFS(#REF!,#REF!,$C$144&amp;N$62)</f>
        <v>#REF!</v>
      </c>
      <c r="O205" s="117" t="e">
        <f>SUMIFS(#REF!,#REF!,$C$144&amp;O$62)</f>
        <v>#REF!</v>
      </c>
      <c r="P205" s="117" t="e">
        <f>SUMIFS(#REF!,#REF!,$C$144&amp;P$62)</f>
        <v>#REF!</v>
      </c>
      <c r="Q205" s="117" t="e">
        <f>SUMIFS(#REF!,#REF!,$C$144&amp;Q$62)</f>
        <v>#REF!</v>
      </c>
      <c r="R205" s="117" t="e">
        <f>SUMIFS(#REF!,#REF!,$C$144&amp;R$62)</f>
        <v>#REF!</v>
      </c>
      <c r="S205" s="117" t="e">
        <f>SUMIFS(#REF!,#REF!,$C$144&amp;S$62)</f>
        <v>#REF!</v>
      </c>
      <c r="T205" s="117" t="e">
        <f>SUMIFS(#REF!,#REF!,$C$144&amp;T$62)</f>
        <v>#REF!</v>
      </c>
      <c r="U205" s="117" t="e">
        <f>SUMIFS(#REF!,#REF!,$C$144&amp;U$62)</f>
        <v>#REF!</v>
      </c>
      <c r="V205" s="117" t="e">
        <f>SUMIFS(#REF!,#REF!,$C$144&amp;V$62)</f>
        <v>#REF!</v>
      </c>
      <c r="W205" s="117" t="e">
        <f>SUMIFS(#REF!,#REF!,$C$144&amp;W$62)</f>
        <v>#REF!</v>
      </c>
      <c r="X205" s="117" t="e">
        <f>SUMIFS(#REF!,#REF!,$C$144&amp;X$62)</f>
        <v>#REF!</v>
      </c>
      <c r="Y205" s="117" t="e">
        <f>SUMIFS(#REF!,#REF!,$C$144&amp;Y$62)</f>
        <v>#REF!</v>
      </c>
      <c r="Z205" s="117" t="e">
        <f>SUMIFS(#REF!,#REF!,$C$144&amp;Z$62)</f>
        <v>#REF!</v>
      </c>
      <c r="AA205" s="117" t="e">
        <f>SUMIFS(#REF!,#REF!,$C$144&amp;AA$62)</f>
        <v>#REF!</v>
      </c>
      <c r="AB205" s="117" t="e">
        <f>SUMIFS(#REF!,#REF!,$C$144&amp;AB$62)</f>
        <v>#REF!</v>
      </c>
      <c r="AC205" s="117" t="e">
        <f>SUMIFS(#REF!,#REF!,$C$144&amp;AC$62)</f>
        <v>#REF!</v>
      </c>
      <c r="AD205" s="117" t="e">
        <f>SUMIFS(#REF!,#REF!,$C$144&amp;AD$62)</f>
        <v>#REF!</v>
      </c>
      <c r="AE205" s="117" t="e">
        <f>SUMIFS(#REF!,#REF!,$C$144&amp;AE$62)</f>
        <v>#REF!</v>
      </c>
      <c r="AF205" s="117" t="e">
        <f>SUMIFS(#REF!,#REF!,$C$144&amp;AF$62)</f>
        <v>#REF!</v>
      </c>
      <c r="AG205" s="117" t="e">
        <f>SUMIFS(#REF!,#REF!,$C$144&amp;AG$62)</f>
        <v>#REF!</v>
      </c>
      <c r="AH205" s="117" t="e">
        <f>SUMIFS(#REF!,#REF!,$C$144&amp;AH$62)</f>
        <v>#REF!</v>
      </c>
      <c r="AI205" s="117" t="e">
        <f>SUMIFS(#REF!,#REF!,$C$144&amp;AI$62)</f>
        <v>#REF!</v>
      </c>
      <c r="AJ205" s="117" t="e">
        <f>SUMIFS(#REF!,#REF!,$C$144&amp;AJ$62)</f>
        <v>#REF!</v>
      </c>
      <c r="AK205" s="56"/>
    </row>
    <row r="206" ht="19.5" hidden="1" customHeight="1" spans="1:37">
      <c r="A206" s="106"/>
      <c r="B206" s="106"/>
      <c r="C206" s="113"/>
      <c r="D206" s="39"/>
      <c r="E206" s="114" t="s">
        <v>43</v>
      </c>
      <c r="F206" s="118" t="e">
        <f t="shared" ref="F206:AJ206" si="76">F205/F202</f>
        <v>#REF!</v>
      </c>
      <c r="G206" s="119" t="e">
        <f t="shared" si="76"/>
        <v>#REF!</v>
      </c>
      <c r="H206" s="119" t="e">
        <f t="shared" si="76"/>
        <v>#REF!</v>
      </c>
      <c r="I206" s="119" t="e">
        <f t="shared" si="76"/>
        <v>#REF!</v>
      </c>
      <c r="J206" s="119" t="e">
        <f t="shared" si="76"/>
        <v>#REF!</v>
      </c>
      <c r="K206" s="119" t="e">
        <f t="shared" si="76"/>
        <v>#REF!</v>
      </c>
      <c r="L206" s="119" t="e">
        <f t="shared" si="76"/>
        <v>#REF!</v>
      </c>
      <c r="M206" s="119" t="e">
        <f t="shared" si="76"/>
        <v>#REF!</v>
      </c>
      <c r="N206" s="119" t="e">
        <f t="shared" si="76"/>
        <v>#REF!</v>
      </c>
      <c r="O206" s="119" t="e">
        <f t="shared" si="76"/>
        <v>#REF!</v>
      </c>
      <c r="P206" s="119" t="e">
        <f t="shared" si="76"/>
        <v>#REF!</v>
      </c>
      <c r="Q206" s="119" t="e">
        <f t="shared" si="76"/>
        <v>#REF!</v>
      </c>
      <c r="R206" s="119" t="e">
        <f t="shared" si="76"/>
        <v>#REF!</v>
      </c>
      <c r="S206" s="119" t="e">
        <f t="shared" si="76"/>
        <v>#REF!</v>
      </c>
      <c r="T206" s="119" t="e">
        <f t="shared" si="76"/>
        <v>#REF!</v>
      </c>
      <c r="U206" s="119" t="e">
        <f t="shared" si="76"/>
        <v>#REF!</v>
      </c>
      <c r="V206" s="119" t="e">
        <f t="shared" si="76"/>
        <v>#REF!</v>
      </c>
      <c r="W206" s="119" t="e">
        <f t="shared" si="76"/>
        <v>#REF!</v>
      </c>
      <c r="X206" s="119" t="e">
        <f t="shared" si="76"/>
        <v>#REF!</v>
      </c>
      <c r="Y206" s="119" t="e">
        <f t="shared" si="76"/>
        <v>#REF!</v>
      </c>
      <c r="Z206" s="119" t="e">
        <f t="shared" si="76"/>
        <v>#REF!</v>
      </c>
      <c r="AA206" s="119" t="e">
        <f t="shared" si="76"/>
        <v>#REF!</v>
      </c>
      <c r="AB206" s="119" t="e">
        <f t="shared" si="76"/>
        <v>#REF!</v>
      </c>
      <c r="AC206" s="119" t="e">
        <f t="shared" si="76"/>
        <v>#REF!</v>
      </c>
      <c r="AD206" s="119" t="e">
        <f t="shared" si="76"/>
        <v>#REF!</v>
      </c>
      <c r="AE206" s="119" t="e">
        <f t="shared" si="76"/>
        <v>#REF!</v>
      </c>
      <c r="AF206" s="119" t="e">
        <f t="shared" si="76"/>
        <v>#REF!</v>
      </c>
      <c r="AG206" s="119" t="e">
        <f t="shared" si="76"/>
        <v>#REF!</v>
      </c>
      <c r="AH206" s="119" t="e">
        <f t="shared" si="76"/>
        <v>#REF!</v>
      </c>
      <c r="AI206" s="119" t="e">
        <f t="shared" si="76"/>
        <v>#REF!</v>
      </c>
      <c r="AJ206" s="119" t="e">
        <f t="shared" si="76"/>
        <v>#REF!</v>
      </c>
      <c r="AK206" s="119"/>
    </row>
    <row r="207" ht="19.5" hidden="1" customHeight="1" spans="1:37">
      <c r="A207" s="106"/>
      <c r="B207" s="106"/>
      <c r="C207" s="113"/>
      <c r="D207" s="39"/>
      <c r="E207" s="114" t="s">
        <v>47</v>
      </c>
      <c r="F207" s="123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</row>
    <row r="208" ht="19.5" hidden="1" customHeight="1" spans="1:37">
      <c r="A208" s="105">
        <f>F209*F210</f>
        <v>162157.36</v>
      </c>
      <c r="B208" s="106"/>
      <c r="C208" s="113"/>
      <c r="D208" s="124" t="s">
        <v>38</v>
      </c>
      <c r="E208" s="115" t="s">
        <v>82</v>
      </c>
      <c r="F208" s="110">
        <f>SUM(G208:AK208)</f>
        <v>2019</v>
      </c>
      <c r="G208" s="111">
        <v>101</v>
      </c>
      <c r="H208" s="111">
        <v>61</v>
      </c>
      <c r="I208" s="111">
        <v>81</v>
      </c>
      <c r="J208" s="111">
        <v>81</v>
      </c>
      <c r="K208" s="111">
        <v>61</v>
      </c>
      <c r="L208" s="111">
        <v>81</v>
      </c>
      <c r="M208" s="111">
        <v>71</v>
      </c>
      <c r="N208" s="111">
        <v>61</v>
      </c>
      <c r="O208" s="111">
        <v>71</v>
      </c>
      <c r="P208" s="111">
        <v>61</v>
      </c>
      <c r="Q208" s="111">
        <v>61</v>
      </c>
      <c r="R208" s="111">
        <v>61</v>
      </c>
      <c r="S208" s="111">
        <v>61</v>
      </c>
      <c r="T208" s="111">
        <v>81</v>
      </c>
      <c r="U208" s="111">
        <v>81</v>
      </c>
      <c r="V208" s="111">
        <v>101</v>
      </c>
      <c r="W208" s="111">
        <v>81</v>
      </c>
      <c r="X208" s="111">
        <v>120</v>
      </c>
      <c r="Y208" s="111">
        <v>61</v>
      </c>
      <c r="Z208" s="111">
        <v>81</v>
      </c>
      <c r="AA208" s="111">
        <v>50</v>
      </c>
      <c r="AB208" s="111">
        <v>50</v>
      </c>
      <c r="AC208" s="111">
        <v>50</v>
      </c>
      <c r="AD208" s="111">
        <v>50</v>
      </c>
      <c r="AE208" s="111">
        <v>50</v>
      </c>
      <c r="AF208" s="111">
        <v>50</v>
      </c>
      <c r="AG208" s="111">
        <v>50</v>
      </c>
      <c r="AH208" s="111">
        <v>50</v>
      </c>
      <c r="AI208" s="111">
        <v>50</v>
      </c>
      <c r="AJ208" s="111">
        <v>50</v>
      </c>
      <c r="AK208" s="111"/>
    </row>
    <row r="209" ht="19.5" hidden="1" customHeight="1" spans="1:48">
      <c r="A209" s="112">
        <f>A208/$A$208</f>
        <v>1</v>
      </c>
      <c r="B209" s="112">
        <f>F209/$F$209</f>
        <v>1</v>
      </c>
      <c r="C209" s="113"/>
      <c r="D209" s="39"/>
      <c r="E209" s="114" t="s">
        <v>41</v>
      </c>
      <c r="F209" s="110">
        <f>SUM(G209:AK209)</f>
        <v>705032</v>
      </c>
      <c r="G209" s="56">
        <v>35612</v>
      </c>
      <c r="H209" s="56">
        <v>21327</v>
      </c>
      <c r="I209" s="56">
        <v>28274</v>
      </c>
      <c r="J209" s="56">
        <v>28274</v>
      </c>
      <c r="K209" s="56">
        <v>21327</v>
      </c>
      <c r="L209" s="56">
        <v>28274</v>
      </c>
      <c r="M209" s="56">
        <v>24938</v>
      </c>
      <c r="N209" s="56">
        <v>21327</v>
      </c>
      <c r="O209" s="56">
        <v>24938</v>
      </c>
      <c r="P209" s="56">
        <v>21327</v>
      </c>
      <c r="Q209" s="56">
        <v>21327</v>
      </c>
      <c r="R209" s="56">
        <v>21327</v>
      </c>
      <c r="S209" s="56">
        <v>21327</v>
      </c>
      <c r="T209" s="56">
        <v>28274</v>
      </c>
      <c r="U209" s="56">
        <v>28274</v>
      </c>
      <c r="V209" s="56">
        <v>35516</v>
      </c>
      <c r="W209" s="56">
        <v>28274</v>
      </c>
      <c r="X209" s="56">
        <v>41874</v>
      </c>
      <c r="Y209" s="56">
        <v>21327</v>
      </c>
      <c r="Z209" s="56">
        <v>28274</v>
      </c>
      <c r="AA209" s="56">
        <v>17362</v>
      </c>
      <c r="AB209" s="56">
        <v>17362</v>
      </c>
      <c r="AC209" s="56">
        <v>17362</v>
      </c>
      <c r="AD209" s="56">
        <v>17362</v>
      </c>
      <c r="AE209" s="56">
        <v>17362</v>
      </c>
      <c r="AF209" s="56">
        <v>17362</v>
      </c>
      <c r="AG209" s="56">
        <v>17362</v>
      </c>
      <c r="AH209" s="56">
        <v>17362</v>
      </c>
      <c r="AI209" s="56">
        <v>17362</v>
      </c>
      <c r="AJ209" s="56">
        <v>17362</v>
      </c>
      <c r="AK209" s="56"/>
    </row>
    <row r="210" ht="19.5" hidden="1" customHeight="1" spans="1:48">
      <c r="A210" s="106"/>
      <c r="B210" s="106"/>
      <c r="C210" s="113"/>
      <c r="D210" s="39"/>
      <c r="E210" s="115" t="s">
        <v>46</v>
      </c>
      <c r="F210" s="116">
        <v>0.23</v>
      </c>
      <c r="G210" s="116">
        <v>0.23</v>
      </c>
      <c r="H210" s="116">
        <v>0.23</v>
      </c>
      <c r="I210" s="116">
        <v>0.23</v>
      </c>
      <c r="J210" s="116">
        <v>0.23</v>
      </c>
      <c r="K210" s="116">
        <v>0.23</v>
      </c>
      <c r="L210" s="116">
        <v>0.23</v>
      </c>
      <c r="M210" s="116">
        <v>0.23</v>
      </c>
      <c r="N210" s="116">
        <v>0.23</v>
      </c>
      <c r="O210" s="116">
        <v>0.23</v>
      </c>
      <c r="P210" s="116">
        <v>0.23</v>
      </c>
      <c r="Q210" s="116">
        <v>0.23</v>
      </c>
      <c r="R210" s="116">
        <v>0.23</v>
      </c>
      <c r="S210" s="116">
        <v>0.23</v>
      </c>
      <c r="T210" s="116">
        <v>0.23</v>
      </c>
      <c r="U210" s="116">
        <v>0.23</v>
      </c>
      <c r="V210" s="116">
        <v>0.23</v>
      </c>
      <c r="W210" s="116">
        <v>0.23</v>
      </c>
      <c r="X210" s="116">
        <v>0.23</v>
      </c>
      <c r="Y210" s="116">
        <v>0.23</v>
      </c>
      <c r="Z210" s="116">
        <v>0.23</v>
      </c>
      <c r="AA210" s="116">
        <v>0.23</v>
      </c>
      <c r="AB210" s="116">
        <v>0.23</v>
      </c>
      <c r="AC210" s="116">
        <v>0.23</v>
      </c>
      <c r="AD210" s="116">
        <v>0.23</v>
      </c>
      <c r="AE210" s="116">
        <v>0.23</v>
      </c>
      <c r="AF210" s="116">
        <v>0.23</v>
      </c>
      <c r="AG210" s="116">
        <v>0.23</v>
      </c>
      <c r="AH210" s="116">
        <v>0.23</v>
      </c>
      <c r="AI210" s="116">
        <v>0.23</v>
      </c>
      <c r="AJ210" s="116">
        <v>0.23</v>
      </c>
      <c r="AK210" s="116"/>
    </row>
    <row r="211" ht="19.5" hidden="1" customHeight="1" spans="1:48">
      <c r="A211" s="106"/>
      <c r="B211" s="106"/>
      <c r="C211" s="113"/>
      <c r="D211" s="39"/>
      <c r="E211" s="114" t="s">
        <v>85</v>
      </c>
      <c r="F211" s="125" t="e">
        <f t="shared" ref="F211:AJ211" si="77">F147+F154+F161+F168+F175+F182+F189+F197+F204</f>
        <v>#REF!</v>
      </c>
      <c r="G211" s="56" t="e">
        <f t="shared" si="77"/>
        <v>#REF!</v>
      </c>
      <c r="H211" s="56" t="e">
        <f t="shared" si="77"/>
        <v>#REF!</v>
      </c>
      <c r="I211" s="56" t="e">
        <f t="shared" si="77"/>
        <v>#REF!</v>
      </c>
      <c r="J211" s="56" t="e">
        <f t="shared" si="77"/>
        <v>#REF!</v>
      </c>
      <c r="K211" s="56" t="e">
        <f t="shared" si="77"/>
        <v>#REF!</v>
      </c>
      <c r="L211" s="56" t="e">
        <f t="shared" si="77"/>
        <v>#REF!</v>
      </c>
      <c r="M211" s="56" t="e">
        <f t="shared" si="77"/>
        <v>#REF!</v>
      </c>
      <c r="N211" s="56" t="e">
        <f t="shared" si="77"/>
        <v>#REF!</v>
      </c>
      <c r="O211" s="56" t="e">
        <f t="shared" si="77"/>
        <v>#REF!</v>
      </c>
      <c r="P211" s="56" t="e">
        <f t="shared" si="77"/>
        <v>#REF!</v>
      </c>
      <c r="Q211" s="56" t="e">
        <f t="shared" si="77"/>
        <v>#REF!</v>
      </c>
      <c r="R211" s="56" t="e">
        <f t="shared" si="77"/>
        <v>#REF!</v>
      </c>
      <c r="S211" s="56" t="e">
        <f t="shared" si="77"/>
        <v>#REF!</v>
      </c>
      <c r="T211" s="56" t="e">
        <f t="shared" si="77"/>
        <v>#REF!</v>
      </c>
      <c r="U211" s="56" t="e">
        <f t="shared" si="77"/>
        <v>#REF!</v>
      </c>
      <c r="V211" s="56" t="e">
        <f t="shared" si="77"/>
        <v>#REF!</v>
      </c>
      <c r="W211" s="56" t="e">
        <f t="shared" si="77"/>
        <v>#REF!</v>
      </c>
      <c r="X211" s="56" t="e">
        <f t="shared" si="77"/>
        <v>#REF!</v>
      </c>
      <c r="Y211" s="56" t="e">
        <f t="shared" si="77"/>
        <v>#REF!</v>
      </c>
      <c r="Z211" s="56" t="e">
        <f t="shared" si="77"/>
        <v>#REF!</v>
      </c>
      <c r="AA211" s="56" t="e">
        <f t="shared" si="77"/>
        <v>#REF!</v>
      </c>
      <c r="AB211" s="56" t="e">
        <f t="shared" si="77"/>
        <v>#REF!</v>
      </c>
      <c r="AC211" s="56" t="e">
        <f t="shared" si="77"/>
        <v>#REF!</v>
      </c>
      <c r="AD211" s="56" t="e">
        <f t="shared" si="77"/>
        <v>#REF!</v>
      </c>
      <c r="AE211" s="56" t="e">
        <f t="shared" si="77"/>
        <v>#REF!</v>
      </c>
      <c r="AF211" s="56" t="e">
        <f t="shared" si="77"/>
        <v>#REF!</v>
      </c>
      <c r="AG211" s="56" t="e">
        <f t="shared" si="77"/>
        <v>#REF!</v>
      </c>
      <c r="AH211" s="56" t="e">
        <f t="shared" si="77"/>
        <v>#REF!</v>
      </c>
      <c r="AI211" s="56" t="e">
        <f t="shared" si="77"/>
        <v>#REF!</v>
      </c>
      <c r="AJ211" s="56" t="e">
        <f t="shared" si="77"/>
        <v>#REF!</v>
      </c>
      <c r="AK211" s="56"/>
    </row>
    <row r="212" ht="19.5" hidden="1" customHeight="1" spans="1:48">
      <c r="A212" s="106"/>
      <c r="B212" s="112" t="e">
        <f>F212/$F$212</f>
        <v>#REF!</v>
      </c>
      <c r="C212" s="113"/>
      <c r="D212" s="39"/>
      <c r="E212" s="114" t="s">
        <v>86</v>
      </c>
      <c r="F212" s="125" t="e">
        <f t="shared" ref="F212:AJ212" si="78">F148+F155+F162+F169+F176+F183+F190+F198+F205</f>
        <v>#REF!</v>
      </c>
      <c r="G212" s="56" t="e">
        <f t="shared" si="78"/>
        <v>#REF!</v>
      </c>
      <c r="H212" s="56" t="e">
        <f t="shared" si="78"/>
        <v>#REF!</v>
      </c>
      <c r="I212" s="56" t="e">
        <f t="shared" si="78"/>
        <v>#REF!</v>
      </c>
      <c r="J212" s="56" t="e">
        <f t="shared" si="78"/>
        <v>#REF!</v>
      </c>
      <c r="K212" s="56" t="e">
        <f t="shared" si="78"/>
        <v>#REF!</v>
      </c>
      <c r="L212" s="56" t="e">
        <f t="shared" si="78"/>
        <v>#REF!</v>
      </c>
      <c r="M212" s="56" t="e">
        <f t="shared" si="78"/>
        <v>#REF!</v>
      </c>
      <c r="N212" s="56" t="e">
        <f t="shared" si="78"/>
        <v>#REF!</v>
      </c>
      <c r="O212" s="56" t="e">
        <f t="shared" si="78"/>
        <v>#REF!</v>
      </c>
      <c r="P212" s="56" t="e">
        <f t="shared" si="78"/>
        <v>#REF!</v>
      </c>
      <c r="Q212" s="56" t="e">
        <f t="shared" si="78"/>
        <v>#REF!</v>
      </c>
      <c r="R212" s="56" t="e">
        <f t="shared" si="78"/>
        <v>#REF!</v>
      </c>
      <c r="S212" s="56" t="e">
        <f t="shared" si="78"/>
        <v>#REF!</v>
      </c>
      <c r="T212" s="56" t="e">
        <f t="shared" si="78"/>
        <v>#REF!</v>
      </c>
      <c r="U212" s="56" t="e">
        <f t="shared" si="78"/>
        <v>#REF!</v>
      </c>
      <c r="V212" s="56" t="e">
        <f t="shared" si="78"/>
        <v>#REF!</v>
      </c>
      <c r="W212" s="56" t="e">
        <f t="shared" si="78"/>
        <v>#REF!</v>
      </c>
      <c r="X212" s="56" t="e">
        <f t="shared" si="78"/>
        <v>#REF!</v>
      </c>
      <c r="Y212" s="56" t="e">
        <f t="shared" si="78"/>
        <v>#REF!</v>
      </c>
      <c r="Z212" s="56" t="e">
        <f t="shared" si="78"/>
        <v>#REF!</v>
      </c>
      <c r="AA212" s="56" t="e">
        <f t="shared" si="78"/>
        <v>#REF!</v>
      </c>
      <c r="AB212" s="56" t="e">
        <f t="shared" si="78"/>
        <v>#REF!</v>
      </c>
      <c r="AC212" s="56" t="e">
        <f t="shared" si="78"/>
        <v>#REF!</v>
      </c>
      <c r="AD212" s="56" t="e">
        <f t="shared" si="78"/>
        <v>#REF!</v>
      </c>
      <c r="AE212" s="56" t="e">
        <f t="shared" si="78"/>
        <v>#REF!</v>
      </c>
      <c r="AF212" s="56" t="e">
        <f t="shared" si="78"/>
        <v>#REF!</v>
      </c>
      <c r="AG212" s="56" t="e">
        <f t="shared" si="78"/>
        <v>#REF!</v>
      </c>
      <c r="AH212" s="56" t="e">
        <f t="shared" si="78"/>
        <v>#REF!</v>
      </c>
      <c r="AI212" s="56" t="e">
        <f t="shared" si="78"/>
        <v>#REF!</v>
      </c>
      <c r="AJ212" s="56" t="e">
        <f t="shared" si="78"/>
        <v>#REF!</v>
      </c>
      <c r="AK212" s="56"/>
    </row>
    <row r="213" ht="19.5" hidden="1" customHeight="1" spans="1:48">
      <c r="A213" s="106"/>
      <c r="B213" s="106"/>
      <c r="C213" s="113"/>
      <c r="D213" s="39"/>
      <c r="E213" s="126" t="s">
        <v>43</v>
      </c>
      <c r="F213" s="118" t="e">
        <f t="shared" ref="F213:AJ213" si="79">F212/F209</f>
        <v>#REF!</v>
      </c>
      <c r="G213" s="119" t="e">
        <f t="shared" si="79"/>
        <v>#REF!</v>
      </c>
      <c r="H213" s="119" t="e">
        <f t="shared" si="79"/>
        <v>#REF!</v>
      </c>
      <c r="I213" s="119" t="e">
        <f t="shared" si="79"/>
        <v>#REF!</v>
      </c>
      <c r="J213" s="119" t="e">
        <f t="shared" si="79"/>
        <v>#REF!</v>
      </c>
      <c r="K213" s="119" t="e">
        <f t="shared" si="79"/>
        <v>#REF!</v>
      </c>
      <c r="L213" s="119" t="e">
        <f t="shared" si="79"/>
        <v>#REF!</v>
      </c>
      <c r="M213" s="119" t="e">
        <f t="shared" si="79"/>
        <v>#REF!</v>
      </c>
      <c r="N213" s="119" t="e">
        <f t="shared" si="79"/>
        <v>#REF!</v>
      </c>
      <c r="O213" s="119" t="e">
        <f t="shared" si="79"/>
        <v>#REF!</v>
      </c>
      <c r="P213" s="119" t="e">
        <f t="shared" si="79"/>
        <v>#REF!</v>
      </c>
      <c r="Q213" s="119" t="e">
        <f t="shared" si="79"/>
        <v>#REF!</v>
      </c>
      <c r="R213" s="119" t="e">
        <f t="shared" si="79"/>
        <v>#REF!</v>
      </c>
      <c r="S213" s="119" t="e">
        <f t="shared" si="79"/>
        <v>#REF!</v>
      </c>
      <c r="T213" s="119" t="e">
        <f t="shared" si="79"/>
        <v>#REF!</v>
      </c>
      <c r="U213" s="119" t="e">
        <f t="shared" si="79"/>
        <v>#REF!</v>
      </c>
      <c r="V213" s="119" t="e">
        <f t="shared" si="79"/>
        <v>#REF!</v>
      </c>
      <c r="W213" s="119" t="e">
        <f t="shared" si="79"/>
        <v>#REF!</v>
      </c>
      <c r="X213" s="119" t="e">
        <f t="shared" si="79"/>
        <v>#REF!</v>
      </c>
      <c r="Y213" s="119" t="e">
        <f t="shared" si="79"/>
        <v>#REF!</v>
      </c>
      <c r="Z213" s="119" t="e">
        <f t="shared" si="79"/>
        <v>#REF!</v>
      </c>
      <c r="AA213" s="119" t="e">
        <f t="shared" si="79"/>
        <v>#REF!</v>
      </c>
      <c r="AB213" s="119" t="e">
        <f t="shared" si="79"/>
        <v>#REF!</v>
      </c>
      <c r="AC213" s="119" t="e">
        <f t="shared" si="79"/>
        <v>#REF!</v>
      </c>
      <c r="AD213" s="119" t="e">
        <f t="shared" si="79"/>
        <v>#REF!</v>
      </c>
      <c r="AE213" s="119" t="e">
        <f t="shared" si="79"/>
        <v>#REF!</v>
      </c>
      <c r="AF213" s="119" t="e">
        <f t="shared" si="79"/>
        <v>#REF!</v>
      </c>
      <c r="AG213" s="119" t="e">
        <f t="shared" si="79"/>
        <v>#REF!</v>
      </c>
      <c r="AH213" s="119" t="e">
        <f t="shared" si="79"/>
        <v>#REF!</v>
      </c>
      <c r="AI213" s="119" t="e">
        <f t="shared" si="79"/>
        <v>#REF!</v>
      </c>
      <c r="AJ213" s="119" t="e">
        <f t="shared" si="79"/>
        <v>#REF!</v>
      </c>
      <c r="AK213" s="119"/>
    </row>
    <row r="214" ht="19.5" hidden="1" customHeight="1" spans="1:48">
      <c r="A214" s="106"/>
      <c r="B214" s="106"/>
      <c r="C214" s="127"/>
      <c r="D214" s="128"/>
      <c r="E214" s="114" t="s">
        <v>47</v>
      </c>
      <c r="F214" s="104">
        <f t="shared" ref="F214:AJ214" si="80">IFERROR(I383/F212,0)</f>
        <v>0</v>
      </c>
      <c r="G214" s="104">
        <f t="shared" si="80"/>
        <v>0</v>
      </c>
      <c r="H214" s="104">
        <f t="shared" si="80"/>
        <v>0</v>
      </c>
      <c r="I214" s="104">
        <f t="shared" si="80"/>
        <v>0</v>
      </c>
      <c r="J214" s="104">
        <f t="shared" si="80"/>
        <v>0</v>
      </c>
      <c r="K214" s="104">
        <f t="shared" si="80"/>
        <v>0</v>
      </c>
      <c r="L214" s="104">
        <f t="shared" si="80"/>
        <v>0</v>
      </c>
      <c r="M214" s="104">
        <f t="shared" si="80"/>
        <v>0</v>
      </c>
      <c r="N214" s="104">
        <f t="shared" si="80"/>
        <v>0</v>
      </c>
      <c r="O214" s="104">
        <f t="shared" si="80"/>
        <v>0</v>
      </c>
      <c r="P214" s="104">
        <f t="shared" si="80"/>
        <v>0</v>
      </c>
      <c r="Q214" s="104">
        <f t="shared" si="80"/>
        <v>0</v>
      </c>
      <c r="R214" s="104">
        <f t="shared" si="80"/>
        <v>0</v>
      </c>
      <c r="S214" s="104">
        <f t="shared" si="80"/>
        <v>0</v>
      </c>
      <c r="T214" s="104">
        <f t="shared" si="80"/>
        <v>0</v>
      </c>
      <c r="U214" s="104">
        <f t="shared" si="80"/>
        <v>0</v>
      </c>
      <c r="V214" s="104">
        <f t="shared" si="80"/>
        <v>0</v>
      </c>
      <c r="W214" s="104">
        <f t="shared" si="80"/>
        <v>0</v>
      </c>
      <c r="X214" s="104">
        <f t="shared" si="80"/>
        <v>0</v>
      </c>
      <c r="Y214" s="104">
        <f t="shared" si="80"/>
        <v>0</v>
      </c>
      <c r="Z214" s="104">
        <f t="shared" si="80"/>
        <v>0</v>
      </c>
      <c r="AA214" s="104">
        <f t="shared" si="80"/>
        <v>0</v>
      </c>
      <c r="AB214" s="104">
        <f t="shared" si="80"/>
        <v>0</v>
      </c>
      <c r="AC214" s="104">
        <f t="shared" si="80"/>
        <v>0</v>
      </c>
      <c r="AD214" s="104">
        <f t="shared" si="80"/>
        <v>0</v>
      </c>
      <c r="AE214" s="104">
        <f t="shared" si="80"/>
        <v>0</v>
      </c>
      <c r="AF214" s="104">
        <f t="shared" si="80"/>
        <v>0</v>
      </c>
      <c r="AG214" s="104">
        <f t="shared" si="80"/>
        <v>0</v>
      </c>
      <c r="AH214" s="104">
        <f t="shared" si="80"/>
        <v>0</v>
      </c>
      <c r="AI214" s="104">
        <f t="shared" si="80"/>
        <v>0</v>
      </c>
      <c r="AJ214" s="104">
        <f t="shared" si="80"/>
        <v>0</v>
      </c>
      <c r="AK214" s="48"/>
    </row>
    <row r="215" ht="19.5" customHeight="1" spans="1:48">
      <c r="A215" s="77" t="s">
        <v>98</v>
      </c>
      <c r="B215" s="78">
        <v>849</v>
      </c>
      <c r="C215" s="129" t="s">
        <v>52</v>
      </c>
      <c r="D215" s="130" t="s">
        <v>89</v>
      </c>
      <c r="E215" s="131" t="s">
        <v>82</v>
      </c>
      <c r="F215" s="132">
        <f>SUM(G215:AK215)</f>
        <v>212.014134275618</v>
      </c>
      <c r="G215" s="111">
        <f t="shared" ref="G215:AK215" si="81">G216/$B$215</f>
        <v>6.36042402826855</v>
      </c>
      <c r="H215" s="111">
        <f t="shared" si="81"/>
        <v>6.36042402826855</v>
      </c>
      <c r="I215" s="111">
        <f t="shared" si="81"/>
        <v>6.36042402826855</v>
      </c>
      <c r="J215" s="111">
        <f t="shared" si="81"/>
        <v>6.36042402826855</v>
      </c>
      <c r="K215" s="111">
        <f t="shared" si="81"/>
        <v>6.36042402826855</v>
      </c>
      <c r="L215" s="111">
        <f t="shared" si="81"/>
        <v>4.24028268551237</v>
      </c>
      <c r="M215" s="111">
        <f t="shared" si="81"/>
        <v>12.7208480565371</v>
      </c>
      <c r="N215" s="111">
        <f t="shared" si="81"/>
        <v>6.36042402826855</v>
      </c>
      <c r="O215" s="111">
        <f t="shared" si="81"/>
        <v>8.48056537102473</v>
      </c>
      <c r="P215" s="111">
        <f t="shared" si="81"/>
        <v>6.36042402826855</v>
      </c>
      <c r="Q215" s="111">
        <f t="shared" si="81"/>
        <v>6.36042402826855</v>
      </c>
      <c r="R215" s="111">
        <f t="shared" si="81"/>
        <v>6.36042402826855</v>
      </c>
      <c r="S215" s="111">
        <f t="shared" si="81"/>
        <v>6.36042402826855</v>
      </c>
      <c r="T215" s="111">
        <f t="shared" si="81"/>
        <v>6.36042402826855</v>
      </c>
      <c r="U215" s="111">
        <f t="shared" si="81"/>
        <v>6.36042402826855</v>
      </c>
      <c r="V215" s="111">
        <f t="shared" si="81"/>
        <v>6.36042402826855</v>
      </c>
      <c r="W215" s="111">
        <f t="shared" si="81"/>
        <v>12.7208480565371</v>
      </c>
      <c r="X215" s="111">
        <f t="shared" si="81"/>
        <v>6.36042402826855</v>
      </c>
      <c r="Y215" s="111">
        <f t="shared" si="81"/>
        <v>8.48056537102473</v>
      </c>
      <c r="Z215" s="111">
        <f t="shared" si="81"/>
        <v>4.24028268551237</v>
      </c>
      <c r="AA215" s="111">
        <f t="shared" si="81"/>
        <v>6.36042402826855</v>
      </c>
      <c r="AB215" s="111">
        <f t="shared" si="81"/>
        <v>6.36042402826855</v>
      </c>
      <c r="AC215" s="111">
        <f t="shared" si="81"/>
        <v>6.36042402826855</v>
      </c>
      <c r="AD215" s="111">
        <f t="shared" si="81"/>
        <v>4.24028268551237</v>
      </c>
      <c r="AE215" s="111">
        <f t="shared" si="81"/>
        <v>8.48056537102473</v>
      </c>
      <c r="AF215" s="111">
        <f t="shared" si="81"/>
        <v>8.48056537102473</v>
      </c>
      <c r="AG215" s="111">
        <f t="shared" si="81"/>
        <v>6.36042402826855</v>
      </c>
      <c r="AH215" s="111">
        <f t="shared" si="81"/>
        <v>8.48056537102473</v>
      </c>
      <c r="AI215" s="111">
        <f t="shared" si="81"/>
        <v>6.36042402826855</v>
      </c>
      <c r="AJ215" s="111">
        <f t="shared" si="81"/>
        <v>6.36042402826855</v>
      </c>
      <c r="AK215" s="111">
        <f t="shared" si="81"/>
        <v>4.24028268551237</v>
      </c>
      <c r="AN215" s="133"/>
      <c r="AO215" s="133"/>
      <c r="AP215" s="133"/>
      <c r="AQ215" s="133"/>
      <c r="AR215" s="133"/>
      <c r="AS215" s="133"/>
      <c r="AT215" s="133"/>
      <c r="AU215" s="133"/>
      <c r="AV215" s="133"/>
    </row>
    <row r="216" ht="19.5" customHeight="1" spans="1:48">
      <c r="A216" s="81" t="s">
        <v>83</v>
      </c>
      <c r="B216" s="81">
        <v>0.36</v>
      </c>
      <c r="C216" s="39"/>
      <c r="D216" s="134"/>
      <c r="E216" s="135" t="s">
        <v>41</v>
      </c>
      <c r="F216" s="136">
        <f>SUM(G216:AK216)</f>
        <v>180000</v>
      </c>
      <c r="G216" s="137">
        <f t="shared" ref="G216:AK216" si="82">$B$217*G8</f>
        <v>5400</v>
      </c>
      <c r="H216" s="136">
        <f t="shared" si="82"/>
        <v>5400</v>
      </c>
      <c r="I216" s="136">
        <f t="shared" si="82"/>
        <v>5400</v>
      </c>
      <c r="J216" s="136">
        <f t="shared" si="82"/>
        <v>5400</v>
      </c>
      <c r="K216" s="136">
        <f t="shared" si="82"/>
        <v>5400</v>
      </c>
      <c r="L216" s="136">
        <f t="shared" si="82"/>
        <v>3600</v>
      </c>
      <c r="M216" s="136">
        <f t="shared" si="82"/>
        <v>10800</v>
      </c>
      <c r="N216" s="136">
        <f t="shared" si="82"/>
        <v>5400</v>
      </c>
      <c r="O216" s="136">
        <f t="shared" si="82"/>
        <v>7200</v>
      </c>
      <c r="P216" s="136">
        <f t="shared" si="82"/>
        <v>5400</v>
      </c>
      <c r="Q216" s="136">
        <f t="shared" si="82"/>
        <v>5400</v>
      </c>
      <c r="R216" s="136">
        <f t="shared" si="82"/>
        <v>5400</v>
      </c>
      <c r="S216" s="136">
        <f t="shared" si="82"/>
        <v>5400</v>
      </c>
      <c r="T216" s="136">
        <f t="shared" si="82"/>
        <v>5400</v>
      </c>
      <c r="U216" s="136">
        <f t="shared" si="82"/>
        <v>5400</v>
      </c>
      <c r="V216" s="136">
        <f t="shared" si="82"/>
        <v>5400</v>
      </c>
      <c r="W216" s="136">
        <f t="shared" si="82"/>
        <v>10800</v>
      </c>
      <c r="X216" s="136">
        <f t="shared" si="82"/>
        <v>5400</v>
      </c>
      <c r="Y216" s="136">
        <f t="shared" si="82"/>
        <v>7200</v>
      </c>
      <c r="Z216" s="136">
        <f t="shared" si="82"/>
        <v>3600</v>
      </c>
      <c r="AA216" s="136">
        <f t="shared" si="82"/>
        <v>5400</v>
      </c>
      <c r="AB216" s="136">
        <f t="shared" si="82"/>
        <v>5400</v>
      </c>
      <c r="AC216" s="136">
        <f t="shared" si="82"/>
        <v>5400</v>
      </c>
      <c r="AD216" s="136">
        <f t="shared" si="82"/>
        <v>3600</v>
      </c>
      <c r="AE216" s="136">
        <f t="shared" si="82"/>
        <v>7200</v>
      </c>
      <c r="AF216" s="136">
        <f t="shared" si="82"/>
        <v>7200</v>
      </c>
      <c r="AG216" s="136">
        <f t="shared" si="82"/>
        <v>5400</v>
      </c>
      <c r="AH216" s="136">
        <f t="shared" si="82"/>
        <v>7200</v>
      </c>
      <c r="AI216" s="136">
        <f t="shared" si="82"/>
        <v>5400</v>
      </c>
      <c r="AJ216" s="136">
        <f t="shared" si="82"/>
        <v>5400</v>
      </c>
      <c r="AK216" s="136">
        <f t="shared" si="82"/>
        <v>3600</v>
      </c>
      <c r="AN216" s="133"/>
      <c r="AO216" s="133"/>
      <c r="AP216" s="133"/>
      <c r="AQ216" s="133"/>
      <c r="AR216" s="133"/>
      <c r="AS216" s="133"/>
      <c r="AT216" s="133"/>
      <c r="AU216" s="133"/>
      <c r="AV216" s="133"/>
    </row>
    <row r="217" ht="19.5" customHeight="1" spans="1:48">
      <c r="A217" s="78" t="s">
        <v>41</v>
      </c>
      <c r="B217" s="77">
        <f>B216*$B$40</f>
        <v>180000</v>
      </c>
      <c r="C217" s="39"/>
      <c r="D217" s="134"/>
      <c r="E217" s="115" t="s">
        <v>46</v>
      </c>
      <c r="F217" s="138">
        <f t="shared" ref="F217:AK217" si="83">F218/F216</f>
        <v>0.180555555555556</v>
      </c>
      <c r="G217" s="139">
        <f t="shared" si="83"/>
        <v>0.180555555555556</v>
      </c>
      <c r="H217" s="139">
        <f t="shared" si="83"/>
        <v>0.180555555555556</v>
      </c>
      <c r="I217" s="139">
        <f t="shared" si="83"/>
        <v>0.180555555555556</v>
      </c>
      <c r="J217" s="139">
        <f t="shared" si="83"/>
        <v>0.180555555555556</v>
      </c>
      <c r="K217" s="139">
        <f t="shared" si="83"/>
        <v>0.180555555555556</v>
      </c>
      <c r="L217" s="139">
        <f t="shared" si="83"/>
        <v>0.180555555555556</v>
      </c>
      <c r="M217" s="139">
        <f t="shared" si="83"/>
        <v>0.180555555555556</v>
      </c>
      <c r="N217" s="139">
        <f t="shared" si="83"/>
        <v>0.180555555555556</v>
      </c>
      <c r="O217" s="139">
        <f t="shared" si="83"/>
        <v>0.180555555555556</v>
      </c>
      <c r="P217" s="139">
        <f t="shared" si="83"/>
        <v>0.180555555555556</v>
      </c>
      <c r="Q217" s="139">
        <f t="shared" si="83"/>
        <v>0.180555555555556</v>
      </c>
      <c r="R217" s="139">
        <f t="shared" si="83"/>
        <v>0.180555555555556</v>
      </c>
      <c r="S217" s="139">
        <f t="shared" si="83"/>
        <v>0.180555555555556</v>
      </c>
      <c r="T217" s="139">
        <f t="shared" si="83"/>
        <v>0.180555555555556</v>
      </c>
      <c r="U217" s="139">
        <f t="shared" si="83"/>
        <v>0.180555555555556</v>
      </c>
      <c r="V217" s="139">
        <f t="shared" si="83"/>
        <v>0.180555555555556</v>
      </c>
      <c r="W217" s="139">
        <f t="shared" si="83"/>
        <v>0.180555555555556</v>
      </c>
      <c r="X217" s="139">
        <f t="shared" si="83"/>
        <v>0.180555555555556</v>
      </c>
      <c r="Y217" s="139">
        <f t="shared" si="83"/>
        <v>0.180555555555556</v>
      </c>
      <c r="Z217" s="139">
        <f t="shared" si="83"/>
        <v>0.180555555555556</v>
      </c>
      <c r="AA217" s="139">
        <f t="shared" si="83"/>
        <v>0.180555555555556</v>
      </c>
      <c r="AB217" s="139">
        <f t="shared" si="83"/>
        <v>0.180555555555556</v>
      </c>
      <c r="AC217" s="139">
        <f t="shared" si="83"/>
        <v>0.180555555555556</v>
      </c>
      <c r="AD217" s="139">
        <f t="shared" si="83"/>
        <v>0.180555555555556</v>
      </c>
      <c r="AE217" s="139">
        <f t="shared" si="83"/>
        <v>0.180555555555556</v>
      </c>
      <c r="AF217" s="139">
        <f t="shared" si="83"/>
        <v>0.180555555555556</v>
      </c>
      <c r="AG217" s="139">
        <f t="shared" si="83"/>
        <v>0.180555555555556</v>
      </c>
      <c r="AH217" s="139">
        <f t="shared" si="83"/>
        <v>0.180555555555556</v>
      </c>
      <c r="AI217" s="139">
        <f t="shared" si="83"/>
        <v>0.180555555555556</v>
      </c>
      <c r="AJ217" s="139">
        <f t="shared" si="83"/>
        <v>0.180555555555556</v>
      </c>
      <c r="AK217" s="139">
        <f t="shared" si="83"/>
        <v>0.180555555555556</v>
      </c>
      <c r="AN217" s="133"/>
      <c r="AO217" s="133"/>
      <c r="AP217" s="133"/>
      <c r="AQ217" s="133"/>
      <c r="AR217" s="133"/>
      <c r="AS217" s="133"/>
      <c r="AT217" s="133"/>
      <c r="AU217" s="133"/>
      <c r="AV217" s="133"/>
    </row>
    <row r="218" ht="19.5" customHeight="1" spans="1:48">
      <c r="A218" s="85" t="s">
        <v>84</v>
      </c>
      <c r="B218" s="81">
        <v>0.5</v>
      </c>
      <c r="C218" s="39"/>
      <c r="D218" s="134"/>
      <c r="E218" s="86" t="s">
        <v>45</v>
      </c>
      <c r="F218" s="111">
        <f>SUM(G218:AK218)</f>
        <v>32500</v>
      </c>
      <c r="G218" s="140">
        <f t="shared" ref="G218:AK218" si="84">$B$219*G8</f>
        <v>975</v>
      </c>
      <c r="H218" s="141">
        <f t="shared" si="84"/>
        <v>975</v>
      </c>
      <c r="I218" s="141">
        <f t="shared" si="84"/>
        <v>975</v>
      </c>
      <c r="J218" s="141">
        <f t="shared" si="84"/>
        <v>975</v>
      </c>
      <c r="K218" s="141">
        <f t="shared" si="84"/>
        <v>975</v>
      </c>
      <c r="L218" s="141">
        <f t="shared" si="84"/>
        <v>650</v>
      </c>
      <c r="M218" s="141">
        <f t="shared" si="84"/>
        <v>1950</v>
      </c>
      <c r="N218" s="141">
        <f t="shared" si="84"/>
        <v>975</v>
      </c>
      <c r="O218" s="141">
        <f t="shared" si="84"/>
        <v>1300</v>
      </c>
      <c r="P218" s="141">
        <f t="shared" si="84"/>
        <v>975</v>
      </c>
      <c r="Q218" s="141">
        <f t="shared" si="84"/>
        <v>975</v>
      </c>
      <c r="R218" s="141">
        <f t="shared" si="84"/>
        <v>975</v>
      </c>
      <c r="S218" s="141">
        <f t="shared" si="84"/>
        <v>975</v>
      </c>
      <c r="T218" s="141">
        <f t="shared" si="84"/>
        <v>975</v>
      </c>
      <c r="U218" s="141">
        <f t="shared" si="84"/>
        <v>975</v>
      </c>
      <c r="V218" s="141">
        <f t="shared" si="84"/>
        <v>975</v>
      </c>
      <c r="W218" s="141">
        <f t="shared" si="84"/>
        <v>1950</v>
      </c>
      <c r="X218" s="141">
        <f t="shared" si="84"/>
        <v>975</v>
      </c>
      <c r="Y218" s="141">
        <f t="shared" si="84"/>
        <v>1300</v>
      </c>
      <c r="Z218" s="141">
        <f t="shared" si="84"/>
        <v>650</v>
      </c>
      <c r="AA218" s="141">
        <f t="shared" si="84"/>
        <v>975</v>
      </c>
      <c r="AB218" s="141">
        <f t="shared" si="84"/>
        <v>975</v>
      </c>
      <c r="AC218" s="141">
        <f t="shared" si="84"/>
        <v>975</v>
      </c>
      <c r="AD218" s="141">
        <f t="shared" si="84"/>
        <v>650</v>
      </c>
      <c r="AE218" s="141">
        <f t="shared" si="84"/>
        <v>1300</v>
      </c>
      <c r="AF218" s="141">
        <f t="shared" si="84"/>
        <v>1300</v>
      </c>
      <c r="AG218" s="141">
        <f t="shared" si="84"/>
        <v>975</v>
      </c>
      <c r="AH218" s="141">
        <f t="shared" si="84"/>
        <v>1300</v>
      </c>
      <c r="AI218" s="141">
        <f t="shared" si="84"/>
        <v>975</v>
      </c>
      <c r="AJ218" s="141">
        <f t="shared" si="84"/>
        <v>975</v>
      </c>
      <c r="AK218" s="141">
        <f t="shared" si="84"/>
        <v>650</v>
      </c>
      <c r="AN218" s="133"/>
      <c r="AO218" s="133"/>
      <c r="AP218" s="133"/>
      <c r="AQ218" s="133"/>
      <c r="AR218" s="133"/>
      <c r="AS218" s="133"/>
      <c r="AT218" s="133"/>
      <c r="AU218" s="133"/>
      <c r="AV218" s="133"/>
    </row>
    <row r="219" ht="19.5" customHeight="1" spans="1:48">
      <c r="A219" s="78" t="s">
        <v>45</v>
      </c>
      <c r="B219" s="77">
        <f>B218*$B$44</f>
        <v>32500</v>
      </c>
      <c r="C219" s="39"/>
      <c r="D219" s="134"/>
      <c r="E219" s="86" t="s">
        <v>44</v>
      </c>
      <c r="F219" s="142"/>
      <c r="G219" s="143"/>
      <c r="H219" s="142"/>
      <c r="I219" s="139"/>
      <c r="J219" s="139"/>
      <c r="K219" s="139"/>
      <c r="L219" s="139"/>
      <c r="M219" s="139"/>
      <c r="N219" s="139"/>
      <c r="O219" s="116"/>
      <c r="P219" s="116"/>
      <c r="Q219" s="116"/>
      <c r="R219" s="116"/>
      <c r="S219" s="116"/>
      <c r="T219" s="116"/>
      <c r="U219" s="116"/>
      <c r="V219" s="116"/>
      <c r="W219" s="116"/>
      <c r="X219" s="116"/>
      <c r="Y219" s="116"/>
      <c r="Z219" s="116"/>
      <c r="AA219" s="116"/>
      <c r="AB219" s="116"/>
      <c r="AC219" s="116"/>
      <c r="AD219" s="116"/>
      <c r="AE219" s="116"/>
      <c r="AF219" s="116"/>
      <c r="AG219" s="116"/>
      <c r="AH219" s="116"/>
      <c r="AI219" s="116"/>
      <c r="AJ219" s="116"/>
      <c r="AK219" s="116"/>
      <c r="AN219" s="133"/>
      <c r="AO219" s="133"/>
      <c r="AP219" s="133"/>
      <c r="AQ219" s="133"/>
      <c r="AR219" s="133"/>
      <c r="AS219" s="133"/>
      <c r="AT219" s="133"/>
      <c r="AU219" s="133"/>
      <c r="AV219" s="133"/>
    </row>
    <row r="220" ht="19.2" customHeight="1" spans="1:48">
      <c r="A220" s="78" t="s">
        <v>46</v>
      </c>
      <c r="B220" s="87">
        <f>B219/B217</f>
        <v>0.180555555555556</v>
      </c>
      <c r="C220" s="39"/>
      <c r="D220" s="134"/>
      <c r="E220" s="114" t="s">
        <v>85</v>
      </c>
      <c r="F220" s="40">
        <f>SUM(G220:AK220)</f>
        <v>0</v>
      </c>
      <c r="G220" s="144"/>
      <c r="H220" s="145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17"/>
      <c r="AH220" s="117"/>
      <c r="AI220" s="117"/>
      <c r="AJ220" s="117"/>
      <c r="AK220" s="117"/>
      <c r="AN220" s="133"/>
      <c r="AO220" s="133"/>
      <c r="AP220" s="133"/>
      <c r="AQ220" s="133"/>
      <c r="AR220" s="133"/>
      <c r="AS220" s="133"/>
      <c r="AT220" s="133"/>
      <c r="AU220" s="133"/>
      <c r="AV220" s="133"/>
    </row>
    <row r="221" ht="19.5" customHeight="1" spans="1:48">
      <c r="A221" s="146"/>
      <c r="B221" s="147"/>
      <c r="C221" s="39"/>
      <c r="D221" s="134"/>
      <c r="E221" s="114" t="s">
        <v>86</v>
      </c>
      <c r="F221" s="40">
        <f>SUM(G221:AK221)</f>
        <v>0</v>
      </c>
      <c r="G221" s="148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17"/>
      <c r="AH221" s="117"/>
      <c r="AI221" s="117"/>
      <c r="AJ221" s="117"/>
      <c r="AK221" s="117"/>
      <c r="AN221" s="133"/>
      <c r="AO221" s="133"/>
      <c r="AP221" s="133"/>
      <c r="AQ221" s="133"/>
      <c r="AR221" s="133"/>
      <c r="AS221" s="133"/>
      <c r="AT221" s="133"/>
      <c r="AU221" s="133"/>
      <c r="AV221" s="133"/>
    </row>
    <row r="222" ht="19.5" customHeight="1" spans="1:48">
      <c r="A222" s="146"/>
      <c r="B222" s="146"/>
      <c r="C222" s="39"/>
      <c r="D222" s="134"/>
      <c r="E222" s="114" t="s">
        <v>43</v>
      </c>
      <c r="F222" s="48">
        <f t="shared" ref="F222:AK222" si="85">F221/F216</f>
        <v>0</v>
      </c>
      <c r="G222" s="149">
        <f t="shared" si="85"/>
        <v>0</v>
      </c>
      <c r="H222" s="122">
        <f t="shared" si="85"/>
        <v>0</v>
      </c>
      <c r="I222" s="122">
        <f t="shared" si="85"/>
        <v>0</v>
      </c>
      <c r="J222" s="122">
        <f t="shared" si="85"/>
        <v>0</v>
      </c>
      <c r="K222" s="122">
        <f t="shared" si="85"/>
        <v>0</v>
      </c>
      <c r="L222" s="122">
        <f t="shared" si="85"/>
        <v>0</v>
      </c>
      <c r="M222" s="122">
        <f t="shared" si="85"/>
        <v>0</v>
      </c>
      <c r="N222" s="122">
        <f t="shared" si="85"/>
        <v>0</v>
      </c>
      <c r="O222" s="119">
        <f t="shared" si="85"/>
        <v>0</v>
      </c>
      <c r="P222" s="119">
        <f t="shared" si="85"/>
        <v>0</v>
      </c>
      <c r="Q222" s="119">
        <f t="shared" si="85"/>
        <v>0</v>
      </c>
      <c r="R222" s="119">
        <f t="shared" si="85"/>
        <v>0</v>
      </c>
      <c r="S222" s="119">
        <f t="shared" si="85"/>
        <v>0</v>
      </c>
      <c r="T222" s="119">
        <f t="shared" si="85"/>
        <v>0</v>
      </c>
      <c r="U222" s="119">
        <f t="shared" si="85"/>
        <v>0</v>
      </c>
      <c r="V222" s="119">
        <f t="shared" si="85"/>
        <v>0</v>
      </c>
      <c r="W222" s="119">
        <f t="shared" si="85"/>
        <v>0</v>
      </c>
      <c r="X222" s="119">
        <f t="shared" si="85"/>
        <v>0</v>
      </c>
      <c r="Y222" s="119">
        <f t="shared" si="85"/>
        <v>0</v>
      </c>
      <c r="Z222" s="119">
        <f t="shared" si="85"/>
        <v>0</v>
      </c>
      <c r="AA222" s="119">
        <f t="shared" si="85"/>
        <v>0</v>
      </c>
      <c r="AB222" s="119">
        <f t="shared" si="85"/>
        <v>0</v>
      </c>
      <c r="AC222" s="119">
        <f t="shared" si="85"/>
        <v>0</v>
      </c>
      <c r="AD222" s="119">
        <f t="shared" si="85"/>
        <v>0</v>
      </c>
      <c r="AE222" s="119">
        <f t="shared" si="85"/>
        <v>0</v>
      </c>
      <c r="AF222" s="119">
        <f t="shared" si="85"/>
        <v>0</v>
      </c>
      <c r="AG222" s="119">
        <f t="shared" si="85"/>
        <v>0</v>
      </c>
      <c r="AH222" s="119">
        <f t="shared" si="85"/>
        <v>0</v>
      </c>
      <c r="AI222" s="119">
        <f t="shared" si="85"/>
        <v>0</v>
      </c>
      <c r="AJ222" s="119">
        <f t="shared" si="85"/>
        <v>0</v>
      </c>
      <c r="AK222" s="119">
        <f t="shared" si="85"/>
        <v>0</v>
      </c>
      <c r="AN222" s="133"/>
      <c r="AO222" s="133"/>
      <c r="AP222" s="133"/>
      <c r="AQ222" s="133"/>
      <c r="AR222" s="133"/>
      <c r="AS222" s="133"/>
      <c r="AT222" s="133"/>
      <c r="AU222" s="133"/>
      <c r="AV222" s="133"/>
    </row>
    <row r="223" ht="19.5" customHeight="1" spans="1:48">
      <c r="A223" s="146"/>
      <c r="B223" s="146"/>
      <c r="C223" s="39"/>
      <c r="D223" s="134"/>
      <c r="E223" s="114" t="s">
        <v>47</v>
      </c>
      <c r="F223" s="48">
        <f t="shared" ref="F223:AK223" si="86">IFERROR(I402/F221,0)</f>
        <v>0</v>
      </c>
      <c r="G223" s="104">
        <f t="shared" si="86"/>
        <v>0</v>
      </c>
      <c r="H223" s="104">
        <f t="shared" si="86"/>
        <v>0</v>
      </c>
      <c r="I223" s="104">
        <f t="shared" si="86"/>
        <v>0</v>
      </c>
      <c r="J223" s="104">
        <f t="shared" si="86"/>
        <v>0</v>
      </c>
      <c r="K223" s="104">
        <f t="shared" si="86"/>
        <v>0</v>
      </c>
      <c r="L223" s="104">
        <f t="shared" si="86"/>
        <v>0</v>
      </c>
      <c r="M223" s="104">
        <f t="shared" si="86"/>
        <v>0</v>
      </c>
      <c r="N223" s="104">
        <f t="shared" si="86"/>
        <v>0</v>
      </c>
      <c r="O223" s="104">
        <f t="shared" si="86"/>
        <v>0</v>
      </c>
      <c r="P223" s="104">
        <f t="shared" si="86"/>
        <v>0</v>
      </c>
      <c r="Q223" s="104">
        <f t="shared" si="86"/>
        <v>0</v>
      </c>
      <c r="R223" s="104">
        <f t="shared" si="86"/>
        <v>0</v>
      </c>
      <c r="S223" s="104">
        <f t="shared" si="86"/>
        <v>0</v>
      </c>
      <c r="T223" s="104">
        <f t="shared" si="86"/>
        <v>0</v>
      </c>
      <c r="U223" s="104">
        <f t="shared" si="86"/>
        <v>0</v>
      </c>
      <c r="V223" s="104">
        <f t="shared" si="86"/>
        <v>0</v>
      </c>
      <c r="W223" s="104">
        <f t="shared" si="86"/>
        <v>0</v>
      </c>
      <c r="X223" s="104">
        <f t="shared" si="86"/>
        <v>0</v>
      </c>
      <c r="Y223" s="104">
        <f t="shared" si="86"/>
        <v>0</v>
      </c>
      <c r="Z223" s="104">
        <f t="shared" si="86"/>
        <v>0</v>
      </c>
      <c r="AA223" s="104">
        <f t="shared" si="86"/>
        <v>0</v>
      </c>
      <c r="AB223" s="104">
        <f t="shared" si="86"/>
        <v>0</v>
      </c>
      <c r="AC223" s="104">
        <f t="shared" si="86"/>
        <v>0</v>
      </c>
      <c r="AD223" s="104">
        <f t="shared" si="86"/>
        <v>0</v>
      </c>
      <c r="AE223" s="104">
        <f t="shared" si="86"/>
        <v>0</v>
      </c>
      <c r="AF223" s="104">
        <f t="shared" si="86"/>
        <v>0</v>
      </c>
      <c r="AG223" s="104">
        <f t="shared" si="86"/>
        <v>0</v>
      </c>
      <c r="AH223" s="104">
        <f t="shared" si="86"/>
        <v>0</v>
      </c>
      <c r="AI223" s="104">
        <f t="shared" si="86"/>
        <v>0</v>
      </c>
      <c r="AJ223" s="104">
        <f t="shared" si="86"/>
        <v>0</v>
      </c>
      <c r="AK223" s="104">
        <f t="shared" si="86"/>
        <v>0</v>
      </c>
      <c r="AN223" s="133"/>
      <c r="AO223" s="133"/>
      <c r="AP223" s="133"/>
      <c r="AQ223" s="133"/>
      <c r="AR223" s="133"/>
      <c r="AS223" s="133"/>
      <c r="AT223" s="133"/>
      <c r="AU223" s="133"/>
      <c r="AV223" s="133"/>
    </row>
    <row r="224" ht="19.5" customHeight="1" spans="1:48">
      <c r="A224" s="77" t="s">
        <v>98</v>
      </c>
      <c r="B224" s="78">
        <v>473</v>
      </c>
      <c r="C224" s="39"/>
      <c r="D224" s="150" t="s">
        <v>90</v>
      </c>
      <c r="E224" s="115" t="s">
        <v>82</v>
      </c>
      <c r="F224" s="111">
        <f>SUM(G224:AK224)</f>
        <v>95.1374207188161</v>
      </c>
      <c r="G224" s="110">
        <f t="shared" ref="G224:AK224" si="87">G225/$B$224</f>
        <v>2.85412262156448</v>
      </c>
      <c r="H224" s="111">
        <f t="shared" si="87"/>
        <v>2.85412262156448</v>
      </c>
      <c r="I224" s="111">
        <f t="shared" si="87"/>
        <v>2.85412262156448</v>
      </c>
      <c r="J224" s="111">
        <f t="shared" si="87"/>
        <v>2.85412262156448</v>
      </c>
      <c r="K224" s="111">
        <f t="shared" si="87"/>
        <v>2.85412262156448</v>
      </c>
      <c r="L224" s="111">
        <f t="shared" si="87"/>
        <v>1.90274841437632</v>
      </c>
      <c r="M224" s="111">
        <f t="shared" si="87"/>
        <v>5.70824524312896</v>
      </c>
      <c r="N224" s="111">
        <f t="shared" si="87"/>
        <v>2.85412262156448</v>
      </c>
      <c r="O224" s="111">
        <f t="shared" si="87"/>
        <v>3.80549682875264</v>
      </c>
      <c r="P224" s="111">
        <f t="shared" si="87"/>
        <v>2.85412262156448</v>
      </c>
      <c r="Q224" s="111">
        <f t="shared" si="87"/>
        <v>2.85412262156448</v>
      </c>
      <c r="R224" s="111">
        <f t="shared" si="87"/>
        <v>2.85412262156448</v>
      </c>
      <c r="S224" s="111">
        <f t="shared" si="87"/>
        <v>2.85412262156448</v>
      </c>
      <c r="T224" s="111">
        <f t="shared" si="87"/>
        <v>2.85412262156448</v>
      </c>
      <c r="U224" s="111">
        <f t="shared" si="87"/>
        <v>2.85412262156448</v>
      </c>
      <c r="V224" s="111">
        <f t="shared" si="87"/>
        <v>2.85412262156448</v>
      </c>
      <c r="W224" s="111">
        <f t="shared" si="87"/>
        <v>5.70824524312896</v>
      </c>
      <c r="X224" s="111">
        <f t="shared" si="87"/>
        <v>2.85412262156448</v>
      </c>
      <c r="Y224" s="111">
        <f t="shared" si="87"/>
        <v>3.80549682875264</v>
      </c>
      <c r="Z224" s="111">
        <f t="shared" si="87"/>
        <v>1.90274841437632</v>
      </c>
      <c r="AA224" s="111">
        <f t="shared" si="87"/>
        <v>2.85412262156448</v>
      </c>
      <c r="AB224" s="111">
        <f t="shared" si="87"/>
        <v>2.85412262156448</v>
      </c>
      <c r="AC224" s="111">
        <f t="shared" si="87"/>
        <v>2.85412262156448</v>
      </c>
      <c r="AD224" s="111">
        <f t="shared" si="87"/>
        <v>1.90274841437632</v>
      </c>
      <c r="AE224" s="111">
        <f t="shared" si="87"/>
        <v>3.80549682875264</v>
      </c>
      <c r="AF224" s="111">
        <f t="shared" si="87"/>
        <v>3.80549682875264</v>
      </c>
      <c r="AG224" s="111">
        <f t="shared" si="87"/>
        <v>2.85412262156448</v>
      </c>
      <c r="AH224" s="111">
        <f t="shared" si="87"/>
        <v>3.80549682875264</v>
      </c>
      <c r="AI224" s="111">
        <f t="shared" si="87"/>
        <v>2.85412262156448</v>
      </c>
      <c r="AJ224" s="111">
        <f t="shared" si="87"/>
        <v>2.85412262156448</v>
      </c>
      <c r="AK224" s="111">
        <f t="shared" si="87"/>
        <v>1.90274841437632</v>
      </c>
      <c r="AN224" s="133"/>
      <c r="AO224" s="133"/>
      <c r="AP224" s="133"/>
      <c r="AQ224" s="133"/>
      <c r="AR224" s="133"/>
      <c r="AS224" s="133"/>
      <c r="AT224" s="133"/>
      <c r="AU224" s="133"/>
      <c r="AV224" s="133"/>
    </row>
    <row r="225" ht="19.5" customHeight="1" spans="1:48">
      <c r="A225" s="81" t="s">
        <v>83</v>
      </c>
      <c r="B225" s="81">
        <v>0.09</v>
      </c>
      <c r="C225" s="39"/>
      <c r="D225" s="134"/>
      <c r="E225" s="114" t="s">
        <v>41</v>
      </c>
      <c r="F225" s="111">
        <f>SUM(G225:AK225)</f>
        <v>45000</v>
      </c>
      <c r="G225" s="125">
        <f t="shared" ref="G225:AK225" si="88">$B$226*G8</f>
        <v>1350</v>
      </c>
      <c r="H225" s="56">
        <f t="shared" si="88"/>
        <v>1350</v>
      </c>
      <c r="I225" s="56">
        <f t="shared" si="88"/>
        <v>1350</v>
      </c>
      <c r="J225" s="56">
        <f t="shared" si="88"/>
        <v>1350</v>
      </c>
      <c r="K225" s="56">
        <f t="shared" si="88"/>
        <v>1350</v>
      </c>
      <c r="L225" s="56">
        <f t="shared" si="88"/>
        <v>900</v>
      </c>
      <c r="M225" s="56">
        <f t="shared" si="88"/>
        <v>2700</v>
      </c>
      <c r="N225" s="56">
        <f t="shared" si="88"/>
        <v>1350</v>
      </c>
      <c r="O225" s="56">
        <f t="shared" si="88"/>
        <v>1800</v>
      </c>
      <c r="P225" s="56">
        <f t="shared" si="88"/>
        <v>1350</v>
      </c>
      <c r="Q225" s="56">
        <f t="shared" si="88"/>
        <v>1350</v>
      </c>
      <c r="R225" s="56">
        <f t="shared" si="88"/>
        <v>1350</v>
      </c>
      <c r="S225" s="56">
        <f t="shared" si="88"/>
        <v>1350</v>
      </c>
      <c r="T225" s="56">
        <f t="shared" si="88"/>
        <v>1350</v>
      </c>
      <c r="U225" s="56">
        <f t="shared" si="88"/>
        <v>1350</v>
      </c>
      <c r="V225" s="56">
        <f t="shared" si="88"/>
        <v>1350</v>
      </c>
      <c r="W225" s="56">
        <f t="shared" si="88"/>
        <v>2700</v>
      </c>
      <c r="X225" s="56">
        <f t="shared" si="88"/>
        <v>1350</v>
      </c>
      <c r="Y225" s="56">
        <f t="shared" si="88"/>
        <v>1800</v>
      </c>
      <c r="Z225" s="56">
        <f t="shared" si="88"/>
        <v>900</v>
      </c>
      <c r="AA225" s="56">
        <f t="shared" si="88"/>
        <v>1350</v>
      </c>
      <c r="AB225" s="56">
        <f t="shared" si="88"/>
        <v>1350</v>
      </c>
      <c r="AC225" s="56">
        <f t="shared" si="88"/>
        <v>1350</v>
      </c>
      <c r="AD225" s="56">
        <f t="shared" si="88"/>
        <v>900</v>
      </c>
      <c r="AE225" s="56">
        <f t="shared" si="88"/>
        <v>1800</v>
      </c>
      <c r="AF225" s="56">
        <f t="shared" si="88"/>
        <v>1800</v>
      </c>
      <c r="AG225" s="56">
        <f t="shared" si="88"/>
        <v>1350</v>
      </c>
      <c r="AH225" s="56">
        <f t="shared" si="88"/>
        <v>1800</v>
      </c>
      <c r="AI225" s="56">
        <f t="shared" si="88"/>
        <v>1350</v>
      </c>
      <c r="AJ225" s="56">
        <f t="shared" si="88"/>
        <v>1350</v>
      </c>
      <c r="AK225" s="56">
        <f t="shared" si="88"/>
        <v>900</v>
      </c>
      <c r="AN225" s="133"/>
      <c r="AO225" s="133"/>
      <c r="AP225" s="133"/>
      <c r="AQ225" s="133"/>
      <c r="AR225" s="133"/>
      <c r="AS225" s="133"/>
      <c r="AT225" s="133"/>
      <c r="AU225" s="133"/>
      <c r="AV225" s="133"/>
    </row>
    <row r="226" ht="19.5" customHeight="1" spans="1:48">
      <c r="A226" s="78" t="s">
        <v>41</v>
      </c>
      <c r="B226" s="77">
        <f>B225*$B$40</f>
        <v>45000</v>
      </c>
      <c r="C226" s="39"/>
      <c r="D226" s="134"/>
      <c r="E226" s="115" t="s">
        <v>46</v>
      </c>
      <c r="F226" s="138"/>
      <c r="G226" s="139"/>
      <c r="H226" s="139"/>
      <c r="I226" s="139"/>
      <c r="J226" s="139"/>
      <c r="K226" s="139"/>
      <c r="L226" s="139"/>
      <c r="M226" s="139"/>
      <c r="N226" s="139"/>
      <c r="O226" s="139"/>
      <c r="P226" s="139"/>
      <c r="Q226" s="139"/>
      <c r="R226" s="139"/>
      <c r="S226" s="139"/>
      <c r="T226" s="139"/>
      <c r="U226" s="139"/>
      <c r="V226" s="139"/>
      <c r="W226" s="139"/>
      <c r="X226" s="139"/>
      <c r="Y226" s="139"/>
      <c r="Z226" s="139"/>
      <c r="AA226" s="139"/>
      <c r="AB226" s="139"/>
      <c r="AC226" s="139"/>
      <c r="AD226" s="139"/>
      <c r="AE226" s="139"/>
      <c r="AF226" s="139"/>
      <c r="AG226" s="139"/>
      <c r="AH226" s="139"/>
      <c r="AI226" s="139"/>
      <c r="AJ226" s="139"/>
      <c r="AK226" s="139"/>
      <c r="AN226" s="133"/>
      <c r="AO226" s="133"/>
      <c r="AP226" s="133"/>
      <c r="AQ226" s="133"/>
      <c r="AR226" s="133"/>
      <c r="AS226" s="133"/>
      <c r="AT226" s="133"/>
      <c r="AU226" s="133"/>
      <c r="AV226" s="133"/>
    </row>
    <row r="227" ht="19.5" customHeight="1" spans="1:48">
      <c r="A227" s="85" t="s">
        <v>84</v>
      </c>
      <c r="B227" s="81"/>
      <c r="C227" s="39"/>
      <c r="D227" s="134"/>
      <c r="E227" s="86" t="s">
        <v>45</v>
      </c>
      <c r="F227" s="111"/>
      <c r="G227" s="140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  <c r="AA227" s="141"/>
      <c r="AB227" s="141"/>
      <c r="AC227" s="141"/>
      <c r="AD227" s="141"/>
      <c r="AE227" s="141"/>
      <c r="AF227" s="141"/>
      <c r="AG227" s="141"/>
      <c r="AH227" s="141"/>
      <c r="AI227" s="141"/>
      <c r="AJ227" s="141"/>
      <c r="AK227" s="141"/>
      <c r="AN227" s="133"/>
      <c r="AO227" s="133"/>
      <c r="AP227" s="133"/>
      <c r="AQ227" s="133"/>
      <c r="AR227" s="133"/>
      <c r="AS227" s="133"/>
      <c r="AT227" s="133"/>
      <c r="AU227" s="133"/>
      <c r="AV227" s="133"/>
    </row>
    <row r="228" ht="19.5" customHeight="1" spans="1:48">
      <c r="A228" s="78" t="s">
        <v>45</v>
      </c>
      <c r="B228" s="77">
        <f>B227*$B$44</f>
        <v>0</v>
      </c>
      <c r="C228" s="39"/>
      <c r="D228" s="134"/>
      <c r="E228" s="86" t="s">
        <v>44</v>
      </c>
      <c r="F228" s="138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  <c r="X228" s="116"/>
      <c r="Y228" s="116"/>
      <c r="Z228" s="116"/>
      <c r="AA228" s="116"/>
      <c r="AB228" s="116"/>
      <c r="AC228" s="116"/>
      <c r="AD228" s="116"/>
      <c r="AE228" s="116"/>
      <c r="AF228" s="116"/>
      <c r="AG228" s="116"/>
      <c r="AH228" s="116"/>
      <c r="AI228" s="116"/>
      <c r="AJ228" s="116"/>
      <c r="AK228" s="116"/>
      <c r="AN228" s="133"/>
      <c r="AO228" s="133"/>
      <c r="AP228" s="133"/>
      <c r="AQ228" s="133"/>
      <c r="AR228" s="133"/>
      <c r="AS228" s="133"/>
      <c r="AT228" s="133"/>
      <c r="AU228" s="133"/>
      <c r="AV228" s="133"/>
    </row>
    <row r="229" ht="19.5" customHeight="1" spans="1:48">
      <c r="A229" s="78" t="s">
        <v>46</v>
      </c>
      <c r="B229" s="87">
        <f>B228/B226</f>
        <v>0</v>
      </c>
      <c r="C229" s="39"/>
      <c r="D229" s="134"/>
      <c r="E229" s="114" t="s">
        <v>85</v>
      </c>
      <c r="F229" s="40">
        <f>SUM(G229:AK229)</f>
        <v>0</v>
      </c>
      <c r="G229" s="148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  <c r="AA229" s="117"/>
      <c r="AB229" s="117"/>
      <c r="AC229" s="117"/>
      <c r="AD229" s="117"/>
      <c r="AE229" s="117"/>
      <c r="AF229" s="117"/>
      <c r="AG229" s="117"/>
      <c r="AH229" s="117"/>
      <c r="AI229" s="117"/>
      <c r="AJ229" s="117"/>
      <c r="AK229" s="117"/>
      <c r="AN229" s="133"/>
      <c r="AO229" s="133"/>
      <c r="AP229" s="133"/>
      <c r="AQ229" s="133"/>
      <c r="AR229" s="133"/>
      <c r="AS229" s="133"/>
      <c r="AT229" s="133"/>
      <c r="AU229" s="133"/>
      <c r="AV229" s="133"/>
    </row>
    <row r="230" ht="19.5" customHeight="1" spans="1:48">
      <c r="A230" s="146"/>
      <c r="B230" s="147"/>
      <c r="C230" s="39"/>
      <c r="D230" s="151"/>
      <c r="E230" s="152" t="s">
        <v>86</v>
      </c>
      <c r="F230" s="153">
        <f>SUM(G230:AK230)</f>
        <v>0</v>
      </c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  <c r="AA230" s="117"/>
      <c r="AB230" s="117"/>
      <c r="AC230" s="117"/>
      <c r="AD230" s="117"/>
      <c r="AE230" s="117"/>
      <c r="AF230" s="117"/>
      <c r="AG230" s="117"/>
      <c r="AH230" s="117"/>
      <c r="AI230" s="117"/>
      <c r="AJ230" s="117"/>
      <c r="AK230" s="117"/>
      <c r="AN230" s="133"/>
      <c r="AO230" s="133"/>
      <c r="AP230" s="133"/>
      <c r="AQ230" s="133"/>
      <c r="AR230" s="133"/>
      <c r="AS230" s="133"/>
      <c r="AT230" s="133"/>
      <c r="AU230" s="133"/>
      <c r="AV230" s="133"/>
    </row>
    <row r="231" ht="19.5" customHeight="1" spans="1:48">
      <c r="A231" s="146"/>
      <c r="B231" s="146"/>
      <c r="C231" s="39"/>
      <c r="D231" s="151"/>
      <c r="E231" s="114" t="s">
        <v>43</v>
      </c>
      <c r="F231" s="118">
        <f t="shared" ref="F231:AK231" si="89">F230/F225</f>
        <v>0</v>
      </c>
      <c r="G231" s="119">
        <f t="shared" si="89"/>
        <v>0</v>
      </c>
      <c r="H231" s="119">
        <f t="shared" si="89"/>
        <v>0</v>
      </c>
      <c r="I231" s="119">
        <f t="shared" si="89"/>
        <v>0</v>
      </c>
      <c r="J231" s="119">
        <f t="shared" si="89"/>
        <v>0</v>
      </c>
      <c r="K231" s="119">
        <f t="shared" si="89"/>
        <v>0</v>
      </c>
      <c r="L231" s="119">
        <f t="shared" si="89"/>
        <v>0</v>
      </c>
      <c r="M231" s="119">
        <f t="shared" si="89"/>
        <v>0</v>
      </c>
      <c r="N231" s="119">
        <f t="shared" si="89"/>
        <v>0</v>
      </c>
      <c r="O231" s="119">
        <f t="shared" si="89"/>
        <v>0</v>
      </c>
      <c r="P231" s="119">
        <f t="shared" si="89"/>
        <v>0</v>
      </c>
      <c r="Q231" s="119">
        <f t="shared" si="89"/>
        <v>0</v>
      </c>
      <c r="R231" s="119">
        <f t="shared" si="89"/>
        <v>0</v>
      </c>
      <c r="S231" s="119">
        <f t="shared" si="89"/>
        <v>0</v>
      </c>
      <c r="T231" s="119">
        <f t="shared" si="89"/>
        <v>0</v>
      </c>
      <c r="U231" s="119">
        <f t="shared" si="89"/>
        <v>0</v>
      </c>
      <c r="V231" s="119">
        <f t="shared" si="89"/>
        <v>0</v>
      </c>
      <c r="W231" s="119">
        <f t="shared" si="89"/>
        <v>0</v>
      </c>
      <c r="X231" s="119">
        <f t="shared" si="89"/>
        <v>0</v>
      </c>
      <c r="Y231" s="119">
        <f t="shared" si="89"/>
        <v>0</v>
      </c>
      <c r="Z231" s="119">
        <f t="shared" si="89"/>
        <v>0</v>
      </c>
      <c r="AA231" s="119">
        <f t="shared" si="89"/>
        <v>0</v>
      </c>
      <c r="AB231" s="119">
        <f t="shared" si="89"/>
        <v>0</v>
      </c>
      <c r="AC231" s="119">
        <f t="shared" si="89"/>
        <v>0</v>
      </c>
      <c r="AD231" s="119">
        <f t="shared" si="89"/>
        <v>0</v>
      </c>
      <c r="AE231" s="119">
        <f t="shared" si="89"/>
        <v>0</v>
      </c>
      <c r="AF231" s="119">
        <f t="shared" si="89"/>
        <v>0</v>
      </c>
      <c r="AG231" s="119">
        <f t="shared" si="89"/>
        <v>0</v>
      </c>
      <c r="AH231" s="119">
        <f t="shared" si="89"/>
        <v>0</v>
      </c>
      <c r="AI231" s="119">
        <f t="shared" si="89"/>
        <v>0</v>
      </c>
      <c r="AJ231" s="119">
        <f t="shared" si="89"/>
        <v>0</v>
      </c>
      <c r="AK231" s="119">
        <f t="shared" si="89"/>
        <v>0</v>
      </c>
      <c r="AN231" s="133"/>
      <c r="AO231" s="133"/>
      <c r="AP231" s="133"/>
      <c r="AQ231" s="133"/>
      <c r="AR231" s="133"/>
      <c r="AS231" s="133"/>
      <c r="AT231" s="133"/>
      <c r="AU231" s="133"/>
      <c r="AV231" s="133"/>
    </row>
    <row r="232" ht="19.5" customHeight="1" spans="1:48">
      <c r="A232" s="146"/>
      <c r="B232" s="146"/>
      <c r="C232" s="39"/>
      <c r="D232" s="151"/>
      <c r="E232" s="114" t="s">
        <v>47</v>
      </c>
      <c r="F232" s="104"/>
      <c r="G232" s="104"/>
      <c r="H232" s="104"/>
      <c r="I232" s="104"/>
      <c r="J232" s="104"/>
      <c r="K232" s="104"/>
      <c r="L232" s="104"/>
      <c r="M232" s="104"/>
      <c r="N232" s="104"/>
      <c r="O232" s="104"/>
      <c r="P232" s="104"/>
      <c r="Q232" s="104"/>
      <c r="R232" s="104"/>
      <c r="S232" s="104"/>
      <c r="T232" s="104"/>
      <c r="U232" s="104"/>
      <c r="V232" s="104"/>
      <c r="W232" s="104"/>
      <c r="X232" s="104"/>
      <c r="Y232" s="104"/>
      <c r="Z232" s="104"/>
      <c r="AA232" s="104"/>
      <c r="AB232" s="104"/>
      <c r="AC232" s="104"/>
      <c r="AD232" s="104"/>
      <c r="AE232" s="104"/>
      <c r="AF232" s="104"/>
      <c r="AG232" s="104"/>
      <c r="AH232" s="104"/>
      <c r="AI232" s="104"/>
      <c r="AJ232" s="104"/>
      <c r="AK232" s="104"/>
      <c r="AN232" s="133"/>
      <c r="AO232" s="133"/>
      <c r="AP232" s="133"/>
      <c r="AQ232" s="133"/>
      <c r="AR232" s="133"/>
      <c r="AS232" s="133"/>
      <c r="AT232" s="133"/>
      <c r="AU232" s="133"/>
      <c r="AV232" s="133"/>
    </row>
    <row r="233" ht="19.5" customHeight="1" spans="1:48">
      <c r="A233" s="77" t="s">
        <v>98</v>
      </c>
      <c r="B233" s="78">
        <v>462</v>
      </c>
      <c r="C233" s="39"/>
      <c r="D233" s="130" t="s">
        <v>91</v>
      </c>
      <c r="E233" s="115" t="s">
        <v>82</v>
      </c>
      <c r="F233" s="110">
        <f>SUM(G233:AK233)</f>
        <v>151.515151515152</v>
      </c>
      <c r="G233" s="111">
        <f t="shared" ref="G233:AK233" si="90">G234/$B$233</f>
        <v>4.54545454545455</v>
      </c>
      <c r="H233" s="111">
        <f t="shared" si="90"/>
        <v>4.54545454545455</v>
      </c>
      <c r="I233" s="111">
        <f t="shared" si="90"/>
        <v>4.54545454545455</v>
      </c>
      <c r="J233" s="111">
        <f t="shared" si="90"/>
        <v>4.54545454545455</v>
      </c>
      <c r="K233" s="111">
        <f t="shared" si="90"/>
        <v>4.54545454545455</v>
      </c>
      <c r="L233" s="111">
        <f t="shared" si="90"/>
        <v>3.03030303030303</v>
      </c>
      <c r="M233" s="111">
        <f t="shared" si="90"/>
        <v>9.09090909090909</v>
      </c>
      <c r="N233" s="111">
        <f t="shared" si="90"/>
        <v>4.54545454545455</v>
      </c>
      <c r="O233" s="111">
        <f t="shared" si="90"/>
        <v>6.06060606060606</v>
      </c>
      <c r="P233" s="111">
        <f t="shared" si="90"/>
        <v>4.54545454545455</v>
      </c>
      <c r="Q233" s="111">
        <f t="shared" si="90"/>
        <v>4.54545454545455</v>
      </c>
      <c r="R233" s="111">
        <f t="shared" si="90"/>
        <v>4.54545454545455</v>
      </c>
      <c r="S233" s="111">
        <f t="shared" si="90"/>
        <v>4.54545454545455</v>
      </c>
      <c r="T233" s="111">
        <f t="shared" si="90"/>
        <v>4.54545454545455</v>
      </c>
      <c r="U233" s="111">
        <f t="shared" si="90"/>
        <v>4.54545454545455</v>
      </c>
      <c r="V233" s="111">
        <f t="shared" si="90"/>
        <v>4.54545454545455</v>
      </c>
      <c r="W233" s="111">
        <f t="shared" si="90"/>
        <v>9.09090909090909</v>
      </c>
      <c r="X233" s="111">
        <f t="shared" si="90"/>
        <v>4.54545454545455</v>
      </c>
      <c r="Y233" s="111">
        <f t="shared" si="90"/>
        <v>6.06060606060606</v>
      </c>
      <c r="Z233" s="111">
        <f t="shared" si="90"/>
        <v>3.03030303030303</v>
      </c>
      <c r="AA233" s="111">
        <f t="shared" si="90"/>
        <v>4.54545454545455</v>
      </c>
      <c r="AB233" s="111">
        <f t="shared" si="90"/>
        <v>4.54545454545455</v>
      </c>
      <c r="AC233" s="111">
        <f t="shared" si="90"/>
        <v>4.54545454545455</v>
      </c>
      <c r="AD233" s="111">
        <f t="shared" si="90"/>
        <v>3.03030303030303</v>
      </c>
      <c r="AE233" s="111">
        <f t="shared" si="90"/>
        <v>6.06060606060606</v>
      </c>
      <c r="AF233" s="111">
        <f t="shared" si="90"/>
        <v>6.06060606060606</v>
      </c>
      <c r="AG233" s="111">
        <f t="shared" si="90"/>
        <v>4.54545454545455</v>
      </c>
      <c r="AH233" s="111">
        <f t="shared" si="90"/>
        <v>6.06060606060606</v>
      </c>
      <c r="AI233" s="111">
        <f t="shared" si="90"/>
        <v>4.54545454545455</v>
      </c>
      <c r="AJ233" s="111">
        <f t="shared" si="90"/>
        <v>4.54545454545455</v>
      </c>
      <c r="AK233" s="111">
        <f t="shared" si="90"/>
        <v>3.03030303030303</v>
      </c>
      <c r="AN233" s="133"/>
      <c r="AO233" s="133"/>
      <c r="AP233" s="133"/>
      <c r="AQ233" s="133"/>
      <c r="AR233" s="133"/>
      <c r="AS233" s="133"/>
      <c r="AT233" s="133"/>
      <c r="AU233" s="133"/>
      <c r="AV233" s="133"/>
    </row>
    <row r="234" ht="19.5" customHeight="1" spans="1:48">
      <c r="A234" s="81" t="s">
        <v>83</v>
      </c>
      <c r="B234" s="81">
        <v>0.14</v>
      </c>
      <c r="C234" s="39"/>
      <c r="D234" s="151"/>
      <c r="E234" s="114" t="s">
        <v>41</v>
      </c>
      <c r="F234" s="110">
        <f>SUM(G234:AK234)</f>
        <v>70000</v>
      </c>
      <c r="G234" s="56">
        <f t="shared" ref="G234:AK234" si="91">$B$235*G8</f>
        <v>2100</v>
      </c>
      <c r="H234" s="56">
        <f t="shared" si="91"/>
        <v>2100</v>
      </c>
      <c r="I234" s="56">
        <f t="shared" si="91"/>
        <v>2100</v>
      </c>
      <c r="J234" s="56">
        <f t="shared" si="91"/>
        <v>2100</v>
      </c>
      <c r="K234" s="56">
        <f t="shared" si="91"/>
        <v>2100</v>
      </c>
      <c r="L234" s="56">
        <f t="shared" si="91"/>
        <v>1400</v>
      </c>
      <c r="M234" s="56">
        <f t="shared" si="91"/>
        <v>4200</v>
      </c>
      <c r="N234" s="56">
        <f t="shared" si="91"/>
        <v>2100</v>
      </c>
      <c r="O234" s="56">
        <f t="shared" si="91"/>
        <v>2800</v>
      </c>
      <c r="P234" s="56">
        <f t="shared" si="91"/>
        <v>2100</v>
      </c>
      <c r="Q234" s="56">
        <f t="shared" si="91"/>
        <v>2100</v>
      </c>
      <c r="R234" s="56">
        <f t="shared" si="91"/>
        <v>2100</v>
      </c>
      <c r="S234" s="56">
        <f t="shared" si="91"/>
        <v>2100</v>
      </c>
      <c r="T234" s="56">
        <f t="shared" si="91"/>
        <v>2100</v>
      </c>
      <c r="U234" s="56">
        <f t="shared" si="91"/>
        <v>2100</v>
      </c>
      <c r="V234" s="56">
        <f t="shared" si="91"/>
        <v>2100</v>
      </c>
      <c r="W234" s="56">
        <f t="shared" si="91"/>
        <v>4200</v>
      </c>
      <c r="X234" s="56">
        <f t="shared" si="91"/>
        <v>2100</v>
      </c>
      <c r="Y234" s="56">
        <f t="shared" si="91"/>
        <v>2800</v>
      </c>
      <c r="Z234" s="56">
        <f t="shared" si="91"/>
        <v>1400</v>
      </c>
      <c r="AA234" s="56">
        <f t="shared" si="91"/>
        <v>2100</v>
      </c>
      <c r="AB234" s="56">
        <f t="shared" si="91"/>
        <v>2100</v>
      </c>
      <c r="AC234" s="56">
        <f t="shared" si="91"/>
        <v>2100</v>
      </c>
      <c r="AD234" s="56">
        <f t="shared" si="91"/>
        <v>1400</v>
      </c>
      <c r="AE234" s="56">
        <f t="shared" si="91"/>
        <v>2800</v>
      </c>
      <c r="AF234" s="56">
        <f t="shared" si="91"/>
        <v>2800</v>
      </c>
      <c r="AG234" s="56">
        <f t="shared" si="91"/>
        <v>2100</v>
      </c>
      <c r="AH234" s="56">
        <f t="shared" si="91"/>
        <v>2800</v>
      </c>
      <c r="AI234" s="56">
        <f t="shared" si="91"/>
        <v>2100</v>
      </c>
      <c r="AJ234" s="56">
        <f t="shared" si="91"/>
        <v>2100</v>
      </c>
      <c r="AK234" s="56">
        <f t="shared" si="91"/>
        <v>1400</v>
      </c>
      <c r="AN234" s="133"/>
      <c r="AO234" s="133"/>
      <c r="AP234" s="133"/>
      <c r="AQ234" s="133"/>
      <c r="AR234" s="133"/>
      <c r="AS234" s="133"/>
      <c r="AT234" s="133"/>
      <c r="AU234" s="133"/>
      <c r="AV234" s="133"/>
    </row>
    <row r="235" ht="19.5" customHeight="1" spans="1:48">
      <c r="A235" s="78" t="s">
        <v>41</v>
      </c>
      <c r="B235" s="77">
        <f>B234*$B$40</f>
        <v>70000</v>
      </c>
      <c r="C235" s="39"/>
      <c r="D235" s="151"/>
      <c r="E235" s="115" t="s">
        <v>46</v>
      </c>
      <c r="F235" s="139">
        <f t="shared" ref="F235:AK235" si="92">F236/F234</f>
        <v>0.185714285714286</v>
      </c>
      <c r="G235" s="139">
        <f t="shared" si="92"/>
        <v>0.185714285714286</v>
      </c>
      <c r="H235" s="139">
        <f t="shared" si="92"/>
        <v>0.185714285714286</v>
      </c>
      <c r="I235" s="139">
        <f t="shared" si="92"/>
        <v>0.185714285714286</v>
      </c>
      <c r="J235" s="139">
        <f t="shared" si="92"/>
        <v>0.185714285714286</v>
      </c>
      <c r="K235" s="139">
        <f t="shared" si="92"/>
        <v>0.185714285714286</v>
      </c>
      <c r="L235" s="139">
        <f t="shared" si="92"/>
        <v>0.185714285714286</v>
      </c>
      <c r="M235" s="139">
        <f t="shared" si="92"/>
        <v>0.185714285714286</v>
      </c>
      <c r="N235" s="139">
        <f t="shared" si="92"/>
        <v>0.185714285714286</v>
      </c>
      <c r="O235" s="139">
        <f t="shared" si="92"/>
        <v>0.185714285714286</v>
      </c>
      <c r="P235" s="139">
        <f t="shared" si="92"/>
        <v>0.185714285714286</v>
      </c>
      <c r="Q235" s="139">
        <f t="shared" si="92"/>
        <v>0.185714285714286</v>
      </c>
      <c r="R235" s="139">
        <f t="shared" si="92"/>
        <v>0.185714285714286</v>
      </c>
      <c r="S235" s="139">
        <f t="shared" si="92"/>
        <v>0.185714285714286</v>
      </c>
      <c r="T235" s="139">
        <f t="shared" si="92"/>
        <v>0.185714285714286</v>
      </c>
      <c r="U235" s="139">
        <f t="shared" si="92"/>
        <v>0.185714285714286</v>
      </c>
      <c r="V235" s="139">
        <f t="shared" si="92"/>
        <v>0.185714285714286</v>
      </c>
      <c r="W235" s="139">
        <f t="shared" si="92"/>
        <v>0.185714285714286</v>
      </c>
      <c r="X235" s="139">
        <f t="shared" si="92"/>
        <v>0.185714285714286</v>
      </c>
      <c r="Y235" s="139">
        <f t="shared" si="92"/>
        <v>0.185714285714286</v>
      </c>
      <c r="Z235" s="139">
        <f t="shared" si="92"/>
        <v>0.185714285714286</v>
      </c>
      <c r="AA235" s="139">
        <f t="shared" si="92"/>
        <v>0.185714285714286</v>
      </c>
      <c r="AB235" s="139">
        <f t="shared" si="92"/>
        <v>0.185714285714286</v>
      </c>
      <c r="AC235" s="139">
        <f t="shared" si="92"/>
        <v>0.185714285714286</v>
      </c>
      <c r="AD235" s="139">
        <f t="shared" si="92"/>
        <v>0.185714285714286</v>
      </c>
      <c r="AE235" s="139">
        <f t="shared" si="92"/>
        <v>0.185714285714286</v>
      </c>
      <c r="AF235" s="139">
        <f t="shared" si="92"/>
        <v>0.185714285714286</v>
      </c>
      <c r="AG235" s="139">
        <f t="shared" si="92"/>
        <v>0.185714285714286</v>
      </c>
      <c r="AH235" s="139">
        <f t="shared" si="92"/>
        <v>0.185714285714286</v>
      </c>
      <c r="AI235" s="139">
        <f t="shared" si="92"/>
        <v>0.185714285714286</v>
      </c>
      <c r="AJ235" s="139">
        <f t="shared" si="92"/>
        <v>0.185714285714286</v>
      </c>
      <c r="AK235" s="139">
        <f t="shared" si="92"/>
        <v>0.185714285714286</v>
      </c>
      <c r="AN235" s="133"/>
      <c r="AO235" s="133"/>
      <c r="AP235" s="133"/>
      <c r="AQ235" s="133"/>
      <c r="AR235" s="133"/>
      <c r="AS235" s="133"/>
      <c r="AT235" s="133"/>
      <c r="AU235" s="133"/>
      <c r="AV235" s="133"/>
    </row>
    <row r="236" ht="19.5" customHeight="1" spans="1:48">
      <c r="A236" s="85" t="s">
        <v>84</v>
      </c>
      <c r="B236" s="81">
        <v>0.2</v>
      </c>
      <c r="C236" s="39"/>
      <c r="D236" s="151"/>
      <c r="E236" s="86" t="s">
        <v>45</v>
      </c>
      <c r="F236" s="110">
        <f>SUM(G236:AK236)</f>
        <v>13000</v>
      </c>
      <c r="G236" s="141">
        <f t="shared" ref="G236:AK236" si="93">$B$237*G8</f>
        <v>390</v>
      </c>
      <c r="H236" s="141">
        <f t="shared" si="93"/>
        <v>390</v>
      </c>
      <c r="I236" s="141">
        <f t="shared" si="93"/>
        <v>390</v>
      </c>
      <c r="J236" s="141">
        <f t="shared" si="93"/>
        <v>390</v>
      </c>
      <c r="K236" s="141">
        <f t="shared" si="93"/>
        <v>390</v>
      </c>
      <c r="L236" s="141">
        <f t="shared" si="93"/>
        <v>260</v>
      </c>
      <c r="M236" s="141">
        <f t="shared" si="93"/>
        <v>780</v>
      </c>
      <c r="N236" s="141">
        <f t="shared" si="93"/>
        <v>390</v>
      </c>
      <c r="O236" s="141">
        <f t="shared" si="93"/>
        <v>520</v>
      </c>
      <c r="P236" s="141">
        <f t="shared" si="93"/>
        <v>390</v>
      </c>
      <c r="Q236" s="141">
        <f t="shared" si="93"/>
        <v>390</v>
      </c>
      <c r="R236" s="141">
        <f t="shared" si="93"/>
        <v>390</v>
      </c>
      <c r="S236" s="141">
        <f t="shared" si="93"/>
        <v>390</v>
      </c>
      <c r="T236" s="141">
        <f t="shared" si="93"/>
        <v>390</v>
      </c>
      <c r="U236" s="141">
        <f t="shared" si="93"/>
        <v>390</v>
      </c>
      <c r="V236" s="141">
        <f t="shared" si="93"/>
        <v>390</v>
      </c>
      <c r="W236" s="141">
        <f t="shared" si="93"/>
        <v>780</v>
      </c>
      <c r="X236" s="141">
        <f t="shared" si="93"/>
        <v>390</v>
      </c>
      <c r="Y236" s="141">
        <f t="shared" si="93"/>
        <v>520</v>
      </c>
      <c r="Z236" s="141">
        <f t="shared" si="93"/>
        <v>260</v>
      </c>
      <c r="AA236" s="141">
        <f t="shared" si="93"/>
        <v>390</v>
      </c>
      <c r="AB236" s="141">
        <f t="shared" si="93"/>
        <v>390</v>
      </c>
      <c r="AC236" s="141">
        <f t="shared" si="93"/>
        <v>390</v>
      </c>
      <c r="AD236" s="141">
        <f t="shared" si="93"/>
        <v>260</v>
      </c>
      <c r="AE236" s="141">
        <f t="shared" si="93"/>
        <v>520</v>
      </c>
      <c r="AF236" s="141">
        <f t="shared" si="93"/>
        <v>520</v>
      </c>
      <c r="AG236" s="141">
        <f t="shared" si="93"/>
        <v>390</v>
      </c>
      <c r="AH236" s="141">
        <f t="shared" si="93"/>
        <v>520</v>
      </c>
      <c r="AI236" s="141">
        <f t="shared" si="93"/>
        <v>390</v>
      </c>
      <c r="AJ236" s="141">
        <f t="shared" si="93"/>
        <v>390</v>
      </c>
      <c r="AK236" s="141">
        <f t="shared" si="93"/>
        <v>260</v>
      </c>
      <c r="AN236" s="133"/>
      <c r="AO236" s="133"/>
      <c r="AP236" s="133"/>
      <c r="AQ236" s="133"/>
      <c r="AR236" s="133"/>
      <c r="AS236" s="133"/>
      <c r="AT236" s="133"/>
      <c r="AU236" s="133"/>
      <c r="AV236" s="133"/>
    </row>
    <row r="237" ht="19.5" customHeight="1" spans="1:48">
      <c r="A237" s="78" t="s">
        <v>45</v>
      </c>
      <c r="B237" s="77">
        <f>B236*$B$44</f>
        <v>13000</v>
      </c>
      <c r="C237" s="39"/>
      <c r="D237" s="151"/>
      <c r="E237" s="86" t="s">
        <v>44</v>
      </c>
      <c r="F237" s="116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  <c r="X237" s="116"/>
      <c r="Y237" s="116"/>
      <c r="Z237" s="116"/>
      <c r="AA237" s="116"/>
      <c r="AB237" s="116"/>
      <c r="AC237" s="116"/>
      <c r="AD237" s="116"/>
      <c r="AE237" s="116"/>
      <c r="AF237" s="116"/>
      <c r="AG237" s="116"/>
      <c r="AH237" s="116"/>
      <c r="AI237" s="116"/>
      <c r="AJ237" s="116"/>
      <c r="AK237" s="116"/>
      <c r="AN237" s="133"/>
      <c r="AO237" s="133"/>
      <c r="AP237" s="133"/>
      <c r="AQ237" s="133"/>
      <c r="AR237" s="133"/>
      <c r="AS237" s="133"/>
      <c r="AT237" s="133"/>
      <c r="AU237" s="133"/>
      <c r="AV237" s="133"/>
    </row>
    <row r="238" ht="19.5" customHeight="1" spans="1:48">
      <c r="A238" s="78" t="s">
        <v>46</v>
      </c>
      <c r="B238" s="87">
        <f>B237/B235</f>
        <v>0.185714285714286</v>
      </c>
      <c r="C238" s="39"/>
      <c r="D238" s="151"/>
      <c r="E238" s="114" t="s">
        <v>85</v>
      </c>
      <c r="F238" s="42">
        <f>SUM(G238:AK238)</f>
        <v>0</v>
      </c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  <c r="AA238" s="117"/>
      <c r="AB238" s="117"/>
      <c r="AC238" s="117"/>
      <c r="AD238" s="117"/>
      <c r="AE238" s="117"/>
      <c r="AF238" s="117"/>
      <c r="AG238" s="117"/>
      <c r="AH238" s="117"/>
      <c r="AI238" s="117"/>
      <c r="AJ238" s="117"/>
      <c r="AK238" s="117"/>
      <c r="AN238" s="133"/>
      <c r="AO238" s="133"/>
      <c r="AP238" s="133"/>
      <c r="AQ238" s="133"/>
      <c r="AR238" s="133"/>
      <c r="AS238" s="133"/>
      <c r="AT238" s="133"/>
      <c r="AU238" s="133"/>
      <c r="AV238" s="133"/>
    </row>
    <row r="239" ht="19.5" customHeight="1" spans="1:48">
      <c r="A239" s="146"/>
      <c r="B239" s="147"/>
      <c r="C239" s="39"/>
      <c r="D239" s="151"/>
      <c r="E239" s="114" t="s">
        <v>86</v>
      </c>
      <c r="F239" s="42">
        <f>SUM(G239:AK239)</f>
        <v>0</v>
      </c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  <c r="AA239" s="117"/>
      <c r="AB239" s="117"/>
      <c r="AC239" s="117"/>
      <c r="AD239" s="117"/>
      <c r="AE239" s="117"/>
      <c r="AF239" s="117"/>
      <c r="AG239" s="117"/>
      <c r="AH239" s="117"/>
      <c r="AI239" s="117"/>
      <c r="AJ239" s="117"/>
      <c r="AK239" s="117"/>
      <c r="AN239" s="133"/>
      <c r="AO239" s="133"/>
      <c r="AP239" s="133"/>
      <c r="AQ239" s="133"/>
      <c r="AR239" s="133"/>
      <c r="AS239" s="133"/>
      <c r="AT239" s="133"/>
      <c r="AU239" s="133"/>
      <c r="AV239" s="133"/>
    </row>
    <row r="240" ht="19.5" customHeight="1" spans="1:48">
      <c r="A240" s="146"/>
      <c r="B240" s="146"/>
      <c r="C240" s="39"/>
      <c r="D240" s="151"/>
      <c r="E240" s="114" t="s">
        <v>43</v>
      </c>
      <c r="F240" s="118">
        <f t="shared" ref="F240:AK240" si="94">F239/F234</f>
        <v>0</v>
      </c>
      <c r="G240" s="119">
        <f t="shared" si="94"/>
        <v>0</v>
      </c>
      <c r="H240" s="119">
        <f t="shared" si="94"/>
        <v>0</v>
      </c>
      <c r="I240" s="119">
        <f t="shared" si="94"/>
        <v>0</v>
      </c>
      <c r="J240" s="119">
        <f t="shared" si="94"/>
        <v>0</v>
      </c>
      <c r="K240" s="119">
        <f t="shared" si="94"/>
        <v>0</v>
      </c>
      <c r="L240" s="119">
        <f t="shared" si="94"/>
        <v>0</v>
      </c>
      <c r="M240" s="119">
        <f t="shared" si="94"/>
        <v>0</v>
      </c>
      <c r="N240" s="119">
        <f t="shared" si="94"/>
        <v>0</v>
      </c>
      <c r="O240" s="119">
        <f t="shared" si="94"/>
        <v>0</v>
      </c>
      <c r="P240" s="119">
        <f t="shared" si="94"/>
        <v>0</v>
      </c>
      <c r="Q240" s="119">
        <f t="shared" si="94"/>
        <v>0</v>
      </c>
      <c r="R240" s="119">
        <f t="shared" si="94"/>
        <v>0</v>
      </c>
      <c r="S240" s="119">
        <f t="shared" si="94"/>
        <v>0</v>
      </c>
      <c r="T240" s="119">
        <f t="shared" si="94"/>
        <v>0</v>
      </c>
      <c r="U240" s="119">
        <f t="shared" si="94"/>
        <v>0</v>
      </c>
      <c r="V240" s="119">
        <f t="shared" si="94"/>
        <v>0</v>
      </c>
      <c r="W240" s="119">
        <f t="shared" si="94"/>
        <v>0</v>
      </c>
      <c r="X240" s="119">
        <f t="shared" si="94"/>
        <v>0</v>
      </c>
      <c r="Y240" s="119">
        <f t="shared" si="94"/>
        <v>0</v>
      </c>
      <c r="Z240" s="119">
        <f t="shared" si="94"/>
        <v>0</v>
      </c>
      <c r="AA240" s="119">
        <f t="shared" si="94"/>
        <v>0</v>
      </c>
      <c r="AB240" s="119">
        <f t="shared" si="94"/>
        <v>0</v>
      </c>
      <c r="AC240" s="119">
        <f t="shared" si="94"/>
        <v>0</v>
      </c>
      <c r="AD240" s="119">
        <f t="shared" si="94"/>
        <v>0</v>
      </c>
      <c r="AE240" s="119">
        <f t="shared" si="94"/>
        <v>0</v>
      </c>
      <c r="AF240" s="119">
        <f t="shared" si="94"/>
        <v>0</v>
      </c>
      <c r="AG240" s="119">
        <f t="shared" si="94"/>
        <v>0</v>
      </c>
      <c r="AH240" s="119">
        <f t="shared" si="94"/>
        <v>0</v>
      </c>
      <c r="AI240" s="119">
        <f t="shared" si="94"/>
        <v>0</v>
      </c>
      <c r="AJ240" s="119">
        <f t="shared" si="94"/>
        <v>0</v>
      </c>
      <c r="AK240" s="119">
        <f t="shared" si="94"/>
        <v>0</v>
      </c>
      <c r="AN240" s="133"/>
      <c r="AO240" s="133"/>
      <c r="AP240" s="133"/>
      <c r="AQ240" s="133"/>
      <c r="AR240" s="133"/>
      <c r="AS240" s="133"/>
      <c r="AT240" s="133"/>
      <c r="AU240" s="133"/>
      <c r="AV240" s="133"/>
    </row>
    <row r="241" ht="19.5" customHeight="1" spans="1:48">
      <c r="A241" s="146"/>
      <c r="B241" s="146"/>
      <c r="C241" s="39"/>
      <c r="D241" s="151"/>
      <c r="E241" s="114" t="s">
        <v>47</v>
      </c>
      <c r="F241" s="104">
        <f t="shared" ref="F241:AK241" si="95">IFERROR(I459/F239,0)</f>
        <v>0</v>
      </c>
      <c r="G241" s="104">
        <f t="shared" si="95"/>
        <v>0</v>
      </c>
      <c r="H241" s="104">
        <f t="shared" si="95"/>
        <v>0</v>
      </c>
      <c r="I241" s="104">
        <f t="shared" si="95"/>
        <v>0</v>
      </c>
      <c r="J241" s="104">
        <f t="shared" si="95"/>
        <v>0</v>
      </c>
      <c r="K241" s="104">
        <f t="shared" si="95"/>
        <v>0</v>
      </c>
      <c r="L241" s="104">
        <f t="shared" si="95"/>
        <v>0</v>
      </c>
      <c r="M241" s="104">
        <f t="shared" si="95"/>
        <v>0</v>
      </c>
      <c r="N241" s="104">
        <f t="shared" si="95"/>
        <v>0</v>
      </c>
      <c r="O241" s="104">
        <f t="shared" si="95"/>
        <v>0</v>
      </c>
      <c r="P241" s="104">
        <f t="shared" si="95"/>
        <v>0</v>
      </c>
      <c r="Q241" s="104">
        <f t="shared" si="95"/>
        <v>0</v>
      </c>
      <c r="R241" s="104">
        <f t="shared" si="95"/>
        <v>0</v>
      </c>
      <c r="S241" s="104">
        <f t="shared" si="95"/>
        <v>0</v>
      </c>
      <c r="T241" s="104">
        <f t="shared" si="95"/>
        <v>0</v>
      </c>
      <c r="U241" s="104">
        <f t="shared" si="95"/>
        <v>0</v>
      </c>
      <c r="V241" s="104">
        <f t="shared" si="95"/>
        <v>0</v>
      </c>
      <c r="W241" s="104">
        <f t="shared" si="95"/>
        <v>0</v>
      </c>
      <c r="X241" s="104">
        <f t="shared" si="95"/>
        <v>0</v>
      </c>
      <c r="Y241" s="104">
        <f t="shared" si="95"/>
        <v>0</v>
      </c>
      <c r="Z241" s="104">
        <f t="shared" si="95"/>
        <v>0</v>
      </c>
      <c r="AA241" s="104">
        <f t="shared" si="95"/>
        <v>0</v>
      </c>
      <c r="AB241" s="104">
        <f t="shared" si="95"/>
        <v>0</v>
      </c>
      <c r="AC241" s="104">
        <f t="shared" si="95"/>
        <v>0</v>
      </c>
      <c r="AD241" s="104">
        <f t="shared" si="95"/>
        <v>0</v>
      </c>
      <c r="AE241" s="104">
        <f t="shared" si="95"/>
        <v>0</v>
      </c>
      <c r="AF241" s="104">
        <f t="shared" si="95"/>
        <v>0</v>
      </c>
      <c r="AG241" s="104">
        <f t="shared" si="95"/>
        <v>0</v>
      </c>
      <c r="AH241" s="104">
        <f t="shared" si="95"/>
        <v>0</v>
      </c>
      <c r="AI241" s="104">
        <f t="shared" si="95"/>
        <v>0</v>
      </c>
      <c r="AJ241" s="104">
        <f t="shared" si="95"/>
        <v>0</v>
      </c>
      <c r="AK241" s="104">
        <f t="shared" si="95"/>
        <v>0</v>
      </c>
      <c r="AN241" s="133"/>
      <c r="AO241" s="133"/>
      <c r="AP241" s="133"/>
      <c r="AQ241" s="133"/>
      <c r="AR241" s="133"/>
      <c r="AS241" s="133"/>
      <c r="AT241" s="133"/>
      <c r="AU241" s="133"/>
      <c r="AV241" s="133"/>
    </row>
    <row r="242" ht="19.5" customHeight="1" spans="1:48">
      <c r="A242" s="77" t="s">
        <v>98</v>
      </c>
      <c r="B242" s="78">
        <v>594</v>
      </c>
      <c r="C242" s="39"/>
      <c r="D242" s="130" t="s">
        <v>81</v>
      </c>
      <c r="E242" s="115" t="s">
        <v>82</v>
      </c>
      <c r="F242" s="110">
        <f>SUM(G242:AK242)</f>
        <v>58.9225589225589</v>
      </c>
      <c r="G242" s="111">
        <f t="shared" ref="G242:AK242" si="96">G243/$B$242</f>
        <v>1.76767676767677</v>
      </c>
      <c r="H242" s="111">
        <f t="shared" si="96"/>
        <v>1.76767676767677</v>
      </c>
      <c r="I242" s="111">
        <f t="shared" si="96"/>
        <v>1.76767676767677</v>
      </c>
      <c r="J242" s="111">
        <f t="shared" si="96"/>
        <v>1.76767676767677</v>
      </c>
      <c r="K242" s="111">
        <f t="shared" si="96"/>
        <v>1.76767676767677</v>
      </c>
      <c r="L242" s="111">
        <f t="shared" si="96"/>
        <v>1.17845117845118</v>
      </c>
      <c r="M242" s="111">
        <f t="shared" si="96"/>
        <v>3.53535353535354</v>
      </c>
      <c r="N242" s="111">
        <f t="shared" si="96"/>
        <v>1.76767676767677</v>
      </c>
      <c r="O242" s="111">
        <f t="shared" si="96"/>
        <v>2.35690235690236</v>
      </c>
      <c r="P242" s="111">
        <f t="shared" si="96"/>
        <v>1.76767676767677</v>
      </c>
      <c r="Q242" s="111">
        <f t="shared" si="96"/>
        <v>1.76767676767677</v>
      </c>
      <c r="R242" s="111">
        <f t="shared" si="96"/>
        <v>1.76767676767677</v>
      </c>
      <c r="S242" s="111">
        <f t="shared" si="96"/>
        <v>1.76767676767677</v>
      </c>
      <c r="T242" s="111">
        <f t="shared" si="96"/>
        <v>1.76767676767677</v>
      </c>
      <c r="U242" s="111">
        <f t="shared" si="96"/>
        <v>1.76767676767677</v>
      </c>
      <c r="V242" s="111">
        <f t="shared" si="96"/>
        <v>1.76767676767677</v>
      </c>
      <c r="W242" s="111">
        <f t="shared" si="96"/>
        <v>3.53535353535354</v>
      </c>
      <c r="X242" s="111">
        <f t="shared" si="96"/>
        <v>1.76767676767677</v>
      </c>
      <c r="Y242" s="111">
        <f t="shared" si="96"/>
        <v>2.35690235690236</v>
      </c>
      <c r="Z242" s="111">
        <f t="shared" si="96"/>
        <v>1.17845117845118</v>
      </c>
      <c r="AA242" s="111">
        <f t="shared" si="96"/>
        <v>1.76767676767677</v>
      </c>
      <c r="AB242" s="111">
        <f t="shared" si="96"/>
        <v>1.76767676767677</v>
      </c>
      <c r="AC242" s="111">
        <f t="shared" si="96"/>
        <v>1.76767676767677</v>
      </c>
      <c r="AD242" s="111">
        <f t="shared" si="96"/>
        <v>1.17845117845118</v>
      </c>
      <c r="AE242" s="111">
        <f t="shared" si="96"/>
        <v>2.35690235690236</v>
      </c>
      <c r="AF242" s="111">
        <f t="shared" si="96"/>
        <v>2.35690235690236</v>
      </c>
      <c r="AG242" s="111">
        <f t="shared" si="96"/>
        <v>1.76767676767677</v>
      </c>
      <c r="AH242" s="111">
        <f t="shared" si="96"/>
        <v>2.35690235690236</v>
      </c>
      <c r="AI242" s="111">
        <f t="shared" si="96"/>
        <v>1.76767676767677</v>
      </c>
      <c r="AJ242" s="111">
        <f t="shared" si="96"/>
        <v>1.76767676767677</v>
      </c>
      <c r="AK242" s="111">
        <f t="shared" si="96"/>
        <v>1.17845117845118</v>
      </c>
      <c r="AN242" s="133"/>
      <c r="AO242" s="133"/>
      <c r="AP242" s="133"/>
      <c r="AQ242" s="133"/>
      <c r="AR242" s="133"/>
      <c r="AS242" s="133"/>
      <c r="AT242" s="133"/>
      <c r="AU242" s="133"/>
      <c r="AV242" s="133"/>
    </row>
    <row r="243" ht="19.5" customHeight="1" spans="1:48">
      <c r="A243" s="81" t="s">
        <v>83</v>
      </c>
      <c r="B243" s="81">
        <v>0.07</v>
      </c>
      <c r="C243" s="39"/>
      <c r="D243" s="151"/>
      <c r="E243" s="114" t="s">
        <v>41</v>
      </c>
      <c r="F243" s="110">
        <f>SUM(G243:AK243)</f>
        <v>35000</v>
      </c>
      <c r="G243" s="56">
        <f t="shared" ref="G243:AK243" si="97">$B$244*G8</f>
        <v>1050</v>
      </c>
      <c r="H243" s="56">
        <f t="shared" si="97"/>
        <v>1050</v>
      </c>
      <c r="I243" s="56">
        <f t="shared" si="97"/>
        <v>1050</v>
      </c>
      <c r="J243" s="56">
        <f t="shared" si="97"/>
        <v>1050</v>
      </c>
      <c r="K243" s="56">
        <f t="shared" si="97"/>
        <v>1050</v>
      </c>
      <c r="L243" s="56">
        <f t="shared" si="97"/>
        <v>700</v>
      </c>
      <c r="M243" s="56">
        <f t="shared" si="97"/>
        <v>2100</v>
      </c>
      <c r="N243" s="56">
        <f t="shared" si="97"/>
        <v>1050</v>
      </c>
      <c r="O243" s="56">
        <f t="shared" si="97"/>
        <v>1400</v>
      </c>
      <c r="P243" s="56">
        <f t="shared" si="97"/>
        <v>1050</v>
      </c>
      <c r="Q243" s="56">
        <f t="shared" si="97"/>
        <v>1050</v>
      </c>
      <c r="R243" s="56">
        <f t="shared" si="97"/>
        <v>1050</v>
      </c>
      <c r="S243" s="56">
        <f t="shared" si="97"/>
        <v>1050</v>
      </c>
      <c r="T243" s="56">
        <f t="shared" si="97"/>
        <v>1050</v>
      </c>
      <c r="U243" s="56">
        <f t="shared" si="97"/>
        <v>1050</v>
      </c>
      <c r="V243" s="56">
        <f t="shared" si="97"/>
        <v>1050</v>
      </c>
      <c r="W243" s="56">
        <f t="shared" si="97"/>
        <v>2100</v>
      </c>
      <c r="X243" s="56">
        <f t="shared" si="97"/>
        <v>1050</v>
      </c>
      <c r="Y243" s="56">
        <f t="shared" si="97"/>
        <v>1400</v>
      </c>
      <c r="Z243" s="56">
        <f t="shared" si="97"/>
        <v>700</v>
      </c>
      <c r="AA243" s="56">
        <f t="shared" si="97"/>
        <v>1050</v>
      </c>
      <c r="AB243" s="56">
        <f t="shared" si="97"/>
        <v>1050</v>
      </c>
      <c r="AC243" s="56">
        <f t="shared" si="97"/>
        <v>1050</v>
      </c>
      <c r="AD243" s="56">
        <f t="shared" si="97"/>
        <v>700</v>
      </c>
      <c r="AE243" s="56">
        <f t="shared" si="97"/>
        <v>1400</v>
      </c>
      <c r="AF243" s="56">
        <f t="shared" si="97"/>
        <v>1400</v>
      </c>
      <c r="AG243" s="56">
        <f t="shared" si="97"/>
        <v>1050</v>
      </c>
      <c r="AH243" s="56">
        <f t="shared" si="97"/>
        <v>1400</v>
      </c>
      <c r="AI243" s="56">
        <f t="shared" si="97"/>
        <v>1050</v>
      </c>
      <c r="AJ243" s="56">
        <f t="shared" si="97"/>
        <v>1050</v>
      </c>
      <c r="AK243" s="56">
        <f t="shared" si="97"/>
        <v>700</v>
      </c>
      <c r="AN243" s="133"/>
      <c r="AO243" s="133"/>
      <c r="AP243" s="133"/>
      <c r="AQ243" s="133"/>
      <c r="AR243" s="133"/>
      <c r="AS243" s="133"/>
      <c r="AT243" s="133"/>
      <c r="AU243" s="133"/>
      <c r="AV243" s="133"/>
    </row>
    <row r="244" ht="19.5" customHeight="1" spans="1:48">
      <c r="A244" s="78" t="s">
        <v>41</v>
      </c>
      <c r="B244" s="77">
        <f>B243*$B$40</f>
        <v>35000</v>
      </c>
      <c r="C244" s="39"/>
      <c r="D244" s="151"/>
      <c r="E244" s="115" t="s">
        <v>46</v>
      </c>
      <c r="F244" s="139">
        <f t="shared" ref="F244:AK244" si="98">F245/F243</f>
        <v>0.222857142857143</v>
      </c>
      <c r="G244" s="139">
        <f t="shared" si="98"/>
        <v>0.222857142857143</v>
      </c>
      <c r="H244" s="139">
        <f t="shared" si="98"/>
        <v>0.222857142857143</v>
      </c>
      <c r="I244" s="139">
        <f t="shared" si="98"/>
        <v>0.222857142857143</v>
      </c>
      <c r="J244" s="139">
        <f t="shared" si="98"/>
        <v>0.222857142857143</v>
      </c>
      <c r="K244" s="139">
        <f t="shared" si="98"/>
        <v>0.222857142857143</v>
      </c>
      <c r="L244" s="139">
        <f t="shared" si="98"/>
        <v>0.222857142857143</v>
      </c>
      <c r="M244" s="139">
        <f t="shared" si="98"/>
        <v>0.222857142857143</v>
      </c>
      <c r="N244" s="139">
        <f t="shared" si="98"/>
        <v>0.222857142857143</v>
      </c>
      <c r="O244" s="139">
        <f t="shared" si="98"/>
        <v>0.222857142857143</v>
      </c>
      <c r="P244" s="139">
        <f t="shared" si="98"/>
        <v>0.222857142857143</v>
      </c>
      <c r="Q244" s="139">
        <f t="shared" si="98"/>
        <v>0.222857142857143</v>
      </c>
      <c r="R244" s="139">
        <f t="shared" si="98"/>
        <v>0.222857142857143</v>
      </c>
      <c r="S244" s="139">
        <f t="shared" si="98"/>
        <v>0.222857142857143</v>
      </c>
      <c r="T244" s="139">
        <f t="shared" si="98"/>
        <v>0.222857142857143</v>
      </c>
      <c r="U244" s="139">
        <f t="shared" si="98"/>
        <v>0.222857142857143</v>
      </c>
      <c r="V244" s="139">
        <f t="shared" si="98"/>
        <v>0.222857142857143</v>
      </c>
      <c r="W244" s="139">
        <f t="shared" si="98"/>
        <v>0.222857142857143</v>
      </c>
      <c r="X244" s="139">
        <f t="shared" si="98"/>
        <v>0.222857142857143</v>
      </c>
      <c r="Y244" s="139">
        <f t="shared" si="98"/>
        <v>0.222857142857143</v>
      </c>
      <c r="Z244" s="139">
        <f t="shared" si="98"/>
        <v>0.222857142857143</v>
      </c>
      <c r="AA244" s="139">
        <f t="shared" si="98"/>
        <v>0.222857142857143</v>
      </c>
      <c r="AB244" s="139">
        <f t="shared" si="98"/>
        <v>0.222857142857143</v>
      </c>
      <c r="AC244" s="139">
        <f t="shared" si="98"/>
        <v>0.222857142857143</v>
      </c>
      <c r="AD244" s="139">
        <f t="shared" si="98"/>
        <v>0.222857142857143</v>
      </c>
      <c r="AE244" s="139">
        <f t="shared" si="98"/>
        <v>0.222857142857143</v>
      </c>
      <c r="AF244" s="139">
        <f t="shared" si="98"/>
        <v>0.222857142857143</v>
      </c>
      <c r="AG244" s="139">
        <f t="shared" si="98"/>
        <v>0.222857142857143</v>
      </c>
      <c r="AH244" s="139">
        <f t="shared" si="98"/>
        <v>0.222857142857143</v>
      </c>
      <c r="AI244" s="139">
        <f t="shared" si="98"/>
        <v>0.222857142857143</v>
      </c>
      <c r="AJ244" s="139">
        <f t="shared" si="98"/>
        <v>0.222857142857143</v>
      </c>
      <c r="AK244" s="139">
        <f t="shared" si="98"/>
        <v>0.222857142857143</v>
      </c>
      <c r="AN244" s="133"/>
      <c r="AO244" s="133"/>
      <c r="AP244" s="133"/>
      <c r="AQ244" s="133"/>
      <c r="AR244" s="133"/>
      <c r="AS244" s="133"/>
      <c r="AT244" s="133"/>
      <c r="AU244" s="133"/>
      <c r="AV244" s="133"/>
    </row>
    <row r="245" ht="19.5" customHeight="1" spans="1:48">
      <c r="A245" s="85" t="s">
        <v>84</v>
      </c>
      <c r="B245" s="81">
        <v>0.12</v>
      </c>
      <c r="C245" s="39"/>
      <c r="D245" s="151"/>
      <c r="E245" s="86" t="s">
        <v>45</v>
      </c>
      <c r="F245" s="110">
        <f>SUM(G245:AK245)</f>
        <v>7800</v>
      </c>
      <c r="G245" s="141">
        <f t="shared" ref="G245:AK245" si="99">$B$246*G8</f>
        <v>234</v>
      </c>
      <c r="H245" s="141">
        <f t="shared" si="99"/>
        <v>234</v>
      </c>
      <c r="I245" s="141">
        <f t="shared" si="99"/>
        <v>234</v>
      </c>
      <c r="J245" s="141">
        <f t="shared" si="99"/>
        <v>234</v>
      </c>
      <c r="K245" s="141">
        <f t="shared" si="99"/>
        <v>234</v>
      </c>
      <c r="L245" s="141">
        <f t="shared" si="99"/>
        <v>156</v>
      </c>
      <c r="M245" s="141">
        <f t="shared" si="99"/>
        <v>468</v>
      </c>
      <c r="N245" s="141">
        <f t="shared" si="99"/>
        <v>234</v>
      </c>
      <c r="O245" s="141">
        <f t="shared" si="99"/>
        <v>312</v>
      </c>
      <c r="P245" s="141">
        <f t="shared" si="99"/>
        <v>234</v>
      </c>
      <c r="Q245" s="141">
        <f t="shared" si="99"/>
        <v>234</v>
      </c>
      <c r="R245" s="141">
        <f t="shared" si="99"/>
        <v>234</v>
      </c>
      <c r="S245" s="141">
        <f t="shared" si="99"/>
        <v>234</v>
      </c>
      <c r="T245" s="141">
        <f t="shared" si="99"/>
        <v>234</v>
      </c>
      <c r="U245" s="141">
        <f t="shared" si="99"/>
        <v>234</v>
      </c>
      <c r="V245" s="141">
        <f t="shared" si="99"/>
        <v>234</v>
      </c>
      <c r="W245" s="141">
        <f t="shared" si="99"/>
        <v>468</v>
      </c>
      <c r="X245" s="141">
        <f t="shared" si="99"/>
        <v>234</v>
      </c>
      <c r="Y245" s="141">
        <f t="shared" si="99"/>
        <v>312</v>
      </c>
      <c r="Z245" s="141">
        <f t="shared" si="99"/>
        <v>156</v>
      </c>
      <c r="AA245" s="141">
        <f t="shared" si="99"/>
        <v>234</v>
      </c>
      <c r="AB245" s="141">
        <f t="shared" si="99"/>
        <v>234</v>
      </c>
      <c r="AC245" s="141">
        <f t="shared" si="99"/>
        <v>234</v>
      </c>
      <c r="AD245" s="141">
        <f t="shared" si="99"/>
        <v>156</v>
      </c>
      <c r="AE245" s="141">
        <f t="shared" si="99"/>
        <v>312</v>
      </c>
      <c r="AF245" s="141">
        <f t="shared" si="99"/>
        <v>312</v>
      </c>
      <c r="AG245" s="141">
        <f t="shared" si="99"/>
        <v>234</v>
      </c>
      <c r="AH245" s="141">
        <f t="shared" si="99"/>
        <v>312</v>
      </c>
      <c r="AI245" s="141">
        <f t="shared" si="99"/>
        <v>234</v>
      </c>
      <c r="AJ245" s="141">
        <f t="shared" si="99"/>
        <v>234</v>
      </c>
      <c r="AK245" s="141">
        <f t="shared" si="99"/>
        <v>156</v>
      </c>
      <c r="AN245" s="133"/>
      <c r="AO245" s="133"/>
      <c r="AP245" s="133"/>
      <c r="AQ245" s="133"/>
      <c r="AR245" s="133"/>
      <c r="AS245" s="133"/>
      <c r="AT245" s="133"/>
      <c r="AU245" s="133"/>
      <c r="AV245" s="133"/>
    </row>
    <row r="246" ht="19.5" customHeight="1" spans="1:48">
      <c r="A246" s="78" t="s">
        <v>45</v>
      </c>
      <c r="B246" s="77">
        <f>B245*$B$44</f>
        <v>7800</v>
      </c>
      <c r="C246" s="39"/>
      <c r="D246" s="151"/>
      <c r="E246" s="86" t="s">
        <v>44</v>
      </c>
      <c r="F246" s="116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6"/>
      <c r="V246" s="116"/>
      <c r="W246" s="116"/>
      <c r="X246" s="116"/>
      <c r="Y246" s="116"/>
      <c r="Z246" s="116"/>
      <c r="AA246" s="116"/>
      <c r="AB246" s="116"/>
      <c r="AC246" s="116"/>
      <c r="AD246" s="116"/>
      <c r="AE246" s="116"/>
      <c r="AF246" s="116"/>
      <c r="AG246" s="116"/>
      <c r="AH246" s="116"/>
      <c r="AI246" s="116"/>
      <c r="AJ246" s="116"/>
      <c r="AK246" s="116"/>
      <c r="AN246" s="133"/>
      <c r="AO246" s="133"/>
      <c r="AP246" s="133"/>
      <c r="AQ246" s="133"/>
      <c r="AR246" s="133"/>
      <c r="AS246" s="133"/>
      <c r="AT246" s="133"/>
      <c r="AU246" s="133"/>
      <c r="AV246" s="133"/>
    </row>
    <row r="247" ht="19.5" customHeight="1" spans="1:48">
      <c r="A247" s="78" t="s">
        <v>46</v>
      </c>
      <c r="B247" s="87">
        <f>B246/B244</f>
        <v>0.222857142857143</v>
      </c>
      <c r="C247" s="39"/>
      <c r="D247" s="151"/>
      <c r="E247" s="114" t="s">
        <v>85</v>
      </c>
      <c r="F247" s="42">
        <f>SUM(G247:AK247)</f>
        <v>0</v>
      </c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  <c r="AA247" s="117"/>
      <c r="AB247" s="117"/>
      <c r="AC247" s="117"/>
      <c r="AD247" s="117"/>
      <c r="AE247" s="117"/>
      <c r="AF247" s="117"/>
      <c r="AG247" s="117"/>
      <c r="AH247" s="117"/>
      <c r="AI247" s="117"/>
      <c r="AJ247" s="117"/>
      <c r="AK247" s="117"/>
      <c r="AN247" s="133"/>
      <c r="AO247" s="133"/>
      <c r="AP247" s="133"/>
      <c r="AQ247" s="133"/>
      <c r="AR247" s="133"/>
      <c r="AS247" s="133"/>
      <c r="AT247" s="133"/>
      <c r="AU247" s="133"/>
      <c r="AV247" s="133"/>
    </row>
    <row r="248" ht="19.5" customHeight="1" spans="1:48">
      <c r="A248" s="146"/>
      <c r="B248" s="147"/>
      <c r="C248" s="39"/>
      <c r="D248" s="151"/>
      <c r="E248" s="114" t="s">
        <v>86</v>
      </c>
      <c r="F248" s="42">
        <f>SUM(G248:AK248)</f>
        <v>0</v>
      </c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  <c r="AA248" s="117"/>
      <c r="AB248" s="117"/>
      <c r="AC248" s="117"/>
      <c r="AD248" s="117"/>
      <c r="AE248" s="117"/>
      <c r="AF248" s="117"/>
      <c r="AG248" s="117"/>
      <c r="AH248" s="117"/>
      <c r="AI248" s="117"/>
      <c r="AJ248" s="117"/>
      <c r="AK248" s="117"/>
      <c r="AN248" s="133"/>
      <c r="AO248" s="133"/>
      <c r="AP248" s="133"/>
      <c r="AQ248" s="133"/>
      <c r="AR248" s="133"/>
      <c r="AS248" s="133"/>
      <c r="AT248" s="133"/>
      <c r="AU248" s="133"/>
      <c r="AV248" s="133"/>
    </row>
    <row r="249" ht="19.5" customHeight="1" spans="1:48">
      <c r="A249" s="146"/>
      <c r="B249" s="146"/>
      <c r="C249" s="39"/>
      <c r="D249" s="151"/>
      <c r="E249" s="114" t="s">
        <v>43</v>
      </c>
      <c r="F249" s="118">
        <f t="shared" ref="F249:AK249" si="100">F248/F243</f>
        <v>0</v>
      </c>
      <c r="G249" s="119">
        <f t="shared" si="100"/>
        <v>0</v>
      </c>
      <c r="H249" s="119">
        <f t="shared" si="100"/>
        <v>0</v>
      </c>
      <c r="I249" s="119">
        <f t="shared" si="100"/>
        <v>0</v>
      </c>
      <c r="J249" s="119">
        <f t="shared" si="100"/>
        <v>0</v>
      </c>
      <c r="K249" s="119">
        <f t="shared" si="100"/>
        <v>0</v>
      </c>
      <c r="L249" s="119">
        <f t="shared" si="100"/>
        <v>0</v>
      </c>
      <c r="M249" s="119">
        <f t="shared" si="100"/>
        <v>0</v>
      </c>
      <c r="N249" s="119">
        <f t="shared" si="100"/>
        <v>0</v>
      </c>
      <c r="O249" s="119">
        <f t="shared" si="100"/>
        <v>0</v>
      </c>
      <c r="P249" s="119">
        <f t="shared" si="100"/>
        <v>0</v>
      </c>
      <c r="Q249" s="119">
        <f t="shared" si="100"/>
        <v>0</v>
      </c>
      <c r="R249" s="119">
        <f t="shared" si="100"/>
        <v>0</v>
      </c>
      <c r="S249" s="119">
        <f t="shared" si="100"/>
        <v>0</v>
      </c>
      <c r="T249" s="119">
        <f t="shared" si="100"/>
        <v>0</v>
      </c>
      <c r="U249" s="119">
        <f t="shared" si="100"/>
        <v>0</v>
      </c>
      <c r="V249" s="119">
        <f t="shared" si="100"/>
        <v>0</v>
      </c>
      <c r="W249" s="119">
        <f t="shared" si="100"/>
        <v>0</v>
      </c>
      <c r="X249" s="119">
        <f t="shared" si="100"/>
        <v>0</v>
      </c>
      <c r="Y249" s="119">
        <f t="shared" si="100"/>
        <v>0</v>
      </c>
      <c r="Z249" s="119">
        <f t="shared" si="100"/>
        <v>0</v>
      </c>
      <c r="AA249" s="119">
        <f t="shared" si="100"/>
        <v>0</v>
      </c>
      <c r="AB249" s="119">
        <f t="shared" si="100"/>
        <v>0</v>
      </c>
      <c r="AC249" s="119">
        <f t="shared" si="100"/>
        <v>0</v>
      </c>
      <c r="AD249" s="119">
        <f t="shared" si="100"/>
        <v>0</v>
      </c>
      <c r="AE249" s="119">
        <f t="shared" si="100"/>
        <v>0</v>
      </c>
      <c r="AF249" s="119">
        <f t="shared" si="100"/>
        <v>0</v>
      </c>
      <c r="AG249" s="119">
        <f t="shared" si="100"/>
        <v>0</v>
      </c>
      <c r="AH249" s="119">
        <f t="shared" si="100"/>
        <v>0</v>
      </c>
      <c r="AI249" s="119">
        <f t="shared" si="100"/>
        <v>0</v>
      </c>
      <c r="AJ249" s="119">
        <f t="shared" si="100"/>
        <v>0</v>
      </c>
      <c r="AK249" s="119">
        <f t="shared" si="100"/>
        <v>0</v>
      </c>
      <c r="AN249" s="133"/>
      <c r="AO249" s="133"/>
      <c r="AP249" s="133"/>
      <c r="AQ249" s="133"/>
      <c r="AR249" s="133"/>
      <c r="AS249" s="133"/>
      <c r="AT249" s="133"/>
      <c r="AU249" s="133"/>
      <c r="AV249" s="133"/>
    </row>
    <row r="250" ht="19.5" customHeight="1" spans="1:48">
      <c r="A250" s="146"/>
      <c r="B250" s="146"/>
      <c r="C250" s="39"/>
      <c r="D250" s="151"/>
      <c r="E250" s="114" t="s">
        <v>47</v>
      </c>
      <c r="F250" s="104">
        <f t="shared" ref="F250:AK250" si="101">IFERROR(I446/F248,0)</f>
        <v>0</v>
      </c>
      <c r="G250" s="104">
        <f t="shared" si="101"/>
        <v>0</v>
      </c>
      <c r="H250" s="104">
        <f t="shared" si="101"/>
        <v>0</v>
      </c>
      <c r="I250" s="104">
        <f t="shared" si="101"/>
        <v>0</v>
      </c>
      <c r="J250" s="104">
        <f t="shared" si="101"/>
        <v>0</v>
      </c>
      <c r="K250" s="104">
        <f t="shared" si="101"/>
        <v>0</v>
      </c>
      <c r="L250" s="104">
        <f t="shared" si="101"/>
        <v>0</v>
      </c>
      <c r="M250" s="104">
        <f t="shared" si="101"/>
        <v>0</v>
      </c>
      <c r="N250" s="104">
        <f t="shared" si="101"/>
        <v>0</v>
      </c>
      <c r="O250" s="104">
        <f t="shared" si="101"/>
        <v>0</v>
      </c>
      <c r="P250" s="104">
        <f t="shared" si="101"/>
        <v>0</v>
      </c>
      <c r="Q250" s="104">
        <f t="shared" si="101"/>
        <v>0</v>
      </c>
      <c r="R250" s="104">
        <f t="shared" si="101"/>
        <v>0</v>
      </c>
      <c r="S250" s="104">
        <f t="shared" si="101"/>
        <v>0</v>
      </c>
      <c r="T250" s="104">
        <f t="shared" si="101"/>
        <v>0</v>
      </c>
      <c r="U250" s="104">
        <f t="shared" si="101"/>
        <v>0</v>
      </c>
      <c r="V250" s="104">
        <f t="shared" si="101"/>
        <v>0</v>
      </c>
      <c r="W250" s="104">
        <f t="shared" si="101"/>
        <v>0</v>
      </c>
      <c r="X250" s="104">
        <f t="shared" si="101"/>
        <v>0</v>
      </c>
      <c r="Y250" s="104">
        <f t="shared" si="101"/>
        <v>0</v>
      </c>
      <c r="Z250" s="104">
        <f t="shared" si="101"/>
        <v>0</v>
      </c>
      <c r="AA250" s="104">
        <f t="shared" si="101"/>
        <v>0</v>
      </c>
      <c r="AB250" s="104">
        <f t="shared" si="101"/>
        <v>0</v>
      </c>
      <c r="AC250" s="104">
        <f t="shared" si="101"/>
        <v>0</v>
      </c>
      <c r="AD250" s="104">
        <f t="shared" si="101"/>
        <v>0</v>
      </c>
      <c r="AE250" s="104">
        <f t="shared" si="101"/>
        <v>0</v>
      </c>
      <c r="AF250" s="104">
        <f t="shared" si="101"/>
        <v>0</v>
      </c>
      <c r="AG250" s="104">
        <f t="shared" si="101"/>
        <v>0</v>
      </c>
      <c r="AH250" s="104">
        <f t="shared" si="101"/>
        <v>0</v>
      </c>
      <c r="AI250" s="104">
        <f t="shared" si="101"/>
        <v>0</v>
      </c>
      <c r="AJ250" s="104">
        <f t="shared" si="101"/>
        <v>0</v>
      </c>
      <c r="AK250" s="104">
        <f t="shared" si="101"/>
        <v>0</v>
      </c>
      <c r="AN250" s="133"/>
      <c r="AO250" s="133"/>
      <c r="AP250" s="133"/>
      <c r="AQ250" s="133"/>
      <c r="AR250" s="133"/>
      <c r="AS250" s="133"/>
      <c r="AT250" s="133"/>
      <c r="AU250" s="133"/>
      <c r="AV250" s="133"/>
    </row>
    <row r="251" ht="19.5" customHeight="1" spans="1:48">
      <c r="A251" s="77" t="s">
        <v>98</v>
      </c>
      <c r="B251" s="78">
        <v>615</v>
      </c>
      <c r="C251" s="39"/>
      <c r="D251" s="130" t="s">
        <v>88</v>
      </c>
      <c r="E251" s="115" t="s">
        <v>82</v>
      </c>
      <c r="F251" s="110">
        <f>SUM(G251:AK251)</f>
        <v>113.821138211382</v>
      </c>
      <c r="G251" s="111">
        <f t="shared" ref="G251:AK251" si="102">G252/$B$251</f>
        <v>3.41463414634146</v>
      </c>
      <c r="H251" s="111">
        <f t="shared" si="102"/>
        <v>3.41463414634146</v>
      </c>
      <c r="I251" s="111">
        <f t="shared" si="102"/>
        <v>3.41463414634146</v>
      </c>
      <c r="J251" s="111">
        <f t="shared" si="102"/>
        <v>3.41463414634146</v>
      </c>
      <c r="K251" s="111">
        <f t="shared" si="102"/>
        <v>3.41463414634146</v>
      </c>
      <c r="L251" s="111">
        <f t="shared" si="102"/>
        <v>2.27642276422764</v>
      </c>
      <c r="M251" s="111">
        <f t="shared" si="102"/>
        <v>6.82926829268293</v>
      </c>
      <c r="N251" s="111">
        <f t="shared" si="102"/>
        <v>3.41463414634146</v>
      </c>
      <c r="O251" s="111">
        <f t="shared" si="102"/>
        <v>4.55284552845528</v>
      </c>
      <c r="P251" s="111">
        <f t="shared" si="102"/>
        <v>3.41463414634146</v>
      </c>
      <c r="Q251" s="111">
        <f t="shared" si="102"/>
        <v>3.41463414634146</v>
      </c>
      <c r="R251" s="111">
        <f t="shared" si="102"/>
        <v>3.41463414634146</v>
      </c>
      <c r="S251" s="111">
        <f t="shared" si="102"/>
        <v>3.41463414634146</v>
      </c>
      <c r="T251" s="111">
        <f t="shared" si="102"/>
        <v>3.41463414634146</v>
      </c>
      <c r="U251" s="111">
        <f t="shared" si="102"/>
        <v>3.41463414634146</v>
      </c>
      <c r="V251" s="111">
        <f t="shared" si="102"/>
        <v>3.41463414634146</v>
      </c>
      <c r="W251" s="111">
        <f t="shared" si="102"/>
        <v>6.82926829268293</v>
      </c>
      <c r="X251" s="111">
        <f t="shared" si="102"/>
        <v>3.41463414634146</v>
      </c>
      <c r="Y251" s="111">
        <f t="shared" si="102"/>
        <v>4.55284552845528</v>
      </c>
      <c r="Z251" s="111">
        <f t="shared" si="102"/>
        <v>2.27642276422764</v>
      </c>
      <c r="AA251" s="111">
        <f t="shared" si="102"/>
        <v>3.41463414634146</v>
      </c>
      <c r="AB251" s="111">
        <f t="shared" si="102"/>
        <v>3.41463414634146</v>
      </c>
      <c r="AC251" s="111">
        <f t="shared" si="102"/>
        <v>3.41463414634146</v>
      </c>
      <c r="AD251" s="111">
        <f t="shared" si="102"/>
        <v>2.27642276422764</v>
      </c>
      <c r="AE251" s="111">
        <f t="shared" si="102"/>
        <v>4.55284552845528</v>
      </c>
      <c r="AF251" s="111">
        <f t="shared" si="102"/>
        <v>4.55284552845528</v>
      </c>
      <c r="AG251" s="111">
        <f t="shared" si="102"/>
        <v>3.41463414634146</v>
      </c>
      <c r="AH251" s="111">
        <f t="shared" si="102"/>
        <v>4.55284552845528</v>
      </c>
      <c r="AI251" s="111">
        <f t="shared" si="102"/>
        <v>3.41463414634146</v>
      </c>
      <c r="AJ251" s="111">
        <f t="shared" si="102"/>
        <v>3.41463414634146</v>
      </c>
      <c r="AK251" s="111">
        <f t="shared" si="102"/>
        <v>2.27642276422764</v>
      </c>
      <c r="AN251" s="133"/>
      <c r="AO251" s="133"/>
      <c r="AP251" s="133"/>
      <c r="AQ251" s="133"/>
      <c r="AR251" s="133"/>
      <c r="AS251" s="133"/>
      <c r="AT251" s="133"/>
      <c r="AU251" s="133"/>
      <c r="AV251" s="133"/>
    </row>
    <row r="252" ht="19.5" customHeight="1" spans="1:48">
      <c r="A252" s="81" t="s">
        <v>83</v>
      </c>
      <c r="B252" s="81">
        <v>0.14</v>
      </c>
      <c r="C252" s="39"/>
      <c r="D252" s="151"/>
      <c r="E252" s="114" t="s">
        <v>41</v>
      </c>
      <c r="F252" s="110">
        <f>SUM(G252:AK252)</f>
        <v>70000</v>
      </c>
      <c r="G252" s="56">
        <f t="shared" ref="G252:AK252" si="103">$B$253*G8</f>
        <v>2100</v>
      </c>
      <c r="H252" s="56">
        <f t="shared" si="103"/>
        <v>2100</v>
      </c>
      <c r="I252" s="56">
        <f t="shared" si="103"/>
        <v>2100</v>
      </c>
      <c r="J252" s="56">
        <f t="shared" si="103"/>
        <v>2100</v>
      </c>
      <c r="K252" s="56">
        <f t="shared" si="103"/>
        <v>2100</v>
      </c>
      <c r="L252" s="56">
        <f t="shared" si="103"/>
        <v>1400</v>
      </c>
      <c r="M252" s="56">
        <f t="shared" si="103"/>
        <v>4200</v>
      </c>
      <c r="N252" s="56">
        <f t="shared" si="103"/>
        <v>2100</v>
      </c>
      <c r="O252" s="56">
        <f t="shared" si="103"/>
        <v>2800</v>
      </c>
      <c r="P252" s="56">
        <f t="shared" si="103"/>
        <v>2100</v>
      </c>
      <c r="Q252" s="56">
        <f t="shared" si="103"/>
        <v>2100</v>
      </c>
      <c r="R252" s="56">
        <f t="shared" si="103"/>
        <v>2100</v>
      </c>
      <c r="S252" s="56">
        <f t="shared" si="103"/>
        <v>2100</v>
      </c>
      <c r="T252" s="56">
        <f t="shared" si="103"/>
        <v>2100</v>
      </c>
      <c r="U252" s="56">
        <f t="shared" si="103"/>
        <v>2100</v>
      </c>
      <c r="V252" s="56">
        <f t="shared" si="103"/>
        <v>2100</v>
      </c>
      <c r="W252" s="56">
        <f t="shared" si="103"/>
        <v>4200</v>
      </c>
      <c r="X252" s="56">
        <f t="shared" si="103"/>
        <v>2100</v>
      </c>
      <c r="Y252" s="56">
        <f t="shared" si="103"/>
        <v>2800</v>
      </c>
      <c r="Z252" s="56">
        <f t="shared" si="103"/>
        <v>1400</v>
      </c>
      <c r="AA252" s="56">
        <f t="shared" si="103"/>
        <v>2100</v>
      </c>
      <c r="AB252" s="56">
        <f t="shared" si="103"/>
        <v>2100</v>
      </c>
      <c r="AC252" s="56">
        <f t="shared" si="103"/>
        <v>2100</v>
      </c>
      <c r="AD252" s="56">
        <f t="shared" si="103"/>
        <v>1400</v>
      </c>
      <c r="AE252" s="56">
        <f t="shared" si="103"/>
        <v>2800</v>
      </c>
      <c r="AF252" s="56">
        <f t="shared" si="103"/>
        <v>2800</v>
      </c>
      <c r="AG252" s="56">
        <f t="shared" si="103"/>
        <v>2100</v>
      </c>
      <c r="AH252" s="56">
        <f t="shared" si="103"/>
        <v>2800</v>
      </c>
      <c r="AI252" s="56">
        <f t="shared" si="103"/>
        <v>2100</v>
      </c>
      <c r="AJ252" s="56">
        <f t="shared" si="103"/>
        <v>2100</v>
      </c>
      <c r="AK252" s="56">
        <f t="shared" si="103"/>
        <v>1400</v>
      </c>
      <c r="AN252" s="133"/>
      <c r="AO252" s="133"/>
      <c r="AP252" s="133"/>
      <c r="AQ252" s="133"/>
      <c r="AR252" s="133"/>
      <c r="AS252" s="133"/>
      <c r="AT252" s="133"/>
      <c r="AU252" s="133"/>
      <c r="AV252" s="133"/>
    </row>
    <row r="253" ht="19.5" customHeight="1" spans="1:48">
      <c r="A253" s="78" t="s">
        <v>41</v>
      </c>
      <c r="B253" s="77">
        <f>B252*$B$40</f>
        <v>70000</v>
      </c>
      <c r="C253" s="39"/>
      <c r="D253" s="151"/>
      <c r="E253" s="115" t="s">
        <v>46</v>
      </c>
      <c r="F253" s="116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6"/>
      <c r="V253" s="116"/>
      <c r="W253" s="116"/>
      <c r="X253" s="116"/>
      <c r="Y253" s="116"/>
      <c r="Z253" s="116"/>
      <c r="AA253" s="116"/>
      <c r="AB253" s="116"/>
      <c r="AC253" s="116"/>
      <c r="AD253" s="116"/>
      <c r="AE253" s="116"/>
      <c r="AF253" s="116"/>
      <c r="AG253" s="116"/>
      <c r="AH253" s="116"/>
      <c r="AI253" s="116"/>
      <c r="AJ253" s="116"/>
      <c r="AK253" s="116"/>
      <c r="AN253" s="133"/>
      <c r="AO253" s="133"/>
      <c r="AP253" s="133"/>
      <c r="AQ253" s="133"/>
      <c r="AR253" s="133"/>
      <c r="AS253" s="133"/>
      <c r="AT253" s="133"/>
      <c r="AU253" s="133"/>
      <c r="AV253" s="133"/>
    </row>
    <row r="254" ht="19.5" customHeight="1" spans="1:48">
      <c r="A254" s="85" t="s">
        <v>84</v>
      </c>
      <c r="B254" s="81"/>
      <c r="C254" s="39"/>
      <c r="D254" s="151"/>
      <c r="E254" s="86" t="s">
        <v>45</v>
      </c>
      <c r="F254" s="116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  <c r="X254" s="116"/>
      <c r="Y254" s="116"/>
      <c r="Z254" s="116"/>
      <c r="AA254" s="116"/>
      <c r="AB254" s="116"/>
      <c r="AC254" s="116"/>
      <c r="AD254" s="116"/>
      <c r="AE254" s="116"/>
      <c r="AF254" s="116"/>
      <c r="AG254" s="116"/>
      <c r="AH254" s="116"/>
      <c r="AI254" s="116"/>
      <c r="AJ254" s="116"/>
      <c r="AK254" s="116"/>
      <c r="AN254" s="133"/>
      <c r="AO254" s="133"/>
      <c r="AP254" s="133"/>
      <c r="AQ254" s="133"/>
      <c r="AR254" s="133"/>
      <c r="AS254" s="133"/>
      <c r="AT254" s="133"/>
      <c r="AU254" s="133"/>
      <c r="AV254" s="133"/>
    </row>
    <row r="255" ht="19.5" customHeight="1" spans="1:48">
      <c r="A255" s="78" t="s">
        <v>45</v>
      </c>
      <c r="B255" s="77">
        <f>B254*$B$44</f>
        <v>0</v>
      </c>
      <c r="C255" s="39"/>
      <c r="D255" s="151"/>
      <c r="E255" s="86" t="s">
        <v>44</v>
      </c>
      <c r="F255" s="116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6"/>
      <c r="V255" s="116"/>
      <c r="W255" s="116"/>
      <c r="X255" s="116"/>
      <c r="Y255" s="116"/>
      <c r="Z255" s="116"/>
      <c r="AA255" s="116"/>
      <c r="AB255" s="116"/>
      <c r="AC255" s="116"/>
      <c r="AD255" s="116"/>
      <c r="AE255" s="116"/>
      <c r="AF255" s="116"/>
      <c r="AG255" s="116"/>
      <c r="AH255" s="116"/>
      <c r="AI255" s="116"/>
      <c r="AJ255" s="116"/>
      <c r="AK255" s="116"/>
      <c r="AN255" s="133"/>
      <c r="AO255" s="133"/>
      <c r="AP255" s="133"/>
      <c r="AQ255" s="133"/>
      <c r="AR255" s="133"/>
      <c r="AS255" s="133"/>
      <c r="AT255" s="133"/>
      <c r="AU255" s="133"/>
      <c r="AV255" s="133"/>
    </row>
    <row r="256" ht="19.5" customHeight="1" spans="1:48">
      <c r="A256" s="78" t="s">
        <v>46</v>
      </c>
      <c r="B256" s="87">
        <f>B255/B253</f>
        <v>0</v>
      </c>
      <c r="C256" s="39"/>
      <c r="D256" s="151"/>
      <c r="E256" s="114" t="s">
        <v>85</v>
      </c>
      <c r="F256" s="42">
        <f>SUM(G256:AK256)</f>
        <v>0</v>
      </c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  <c r="AA256" s="117"/>
      <c r="AB256" s="117"/>
      <c r="AC256" s="117"/>
      <c r="AD256" s="117"/>
      <c r="AE256" s="117"/>
      <c r="AF256" s="117"/>
      <c r="AG256" s="117"/>
      <c r="AH256" s="117"/>
      <c r="AI256" s="117"/>
      <c r="AJ256" s="117"/>
      <c r="AK256" s="117"/>
      <c r="AN256" s="133"/>
      <c r="AO256" s="133"/>
      <c r="AP256" s="133"/>
      <c r="AQ256" s="133"/>
      <c r="AR256" s="133"/>
      <c r="AS256" s="133"/>
      <c r="AT256" s="133"/>
      <c r="AU256" s="133"/>
      <c r="AV256" s="133"/>
    </row>
    <row r="257" ht="19.5" customHeight="1" spans="1:48">
      <c r="A257" s="146"/>
      <c r="B257" s="147"/>
      <c r="C257" s="39"/>
      <c r="D257" s="151"/>
      <c r="E257" s="114" t="s">
        <v>86</v>
      </c>
      <c r="F257" s="42">
        <f>SUM(G257:AK257)</f>
        <v>0</v>
      </c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  <c r="AA257" s="117"/>
      <c r="AB257" s="117"/>
      <c r="AC257" s="117"/>
      <c r="AD257" s="117"/>
      <c r="AE257" s="117"/>
      <c r="AF257" s="117"/>
      <c r="AG257" s="117"/>
      <c r="AH257" s="117"/>
      <c r="AI257" s="117"/>
      <c r="AJ257" s="117"/>
      <c r="AK257" s="117"/>
      <c r="AN257" s="133"/>
      <c r="AO257" s="133"/>
      <c r="AP257" s="133"/>
      <c r="AQ257" s="133"/>
      <c r="AR257" s="133"/>
      <c r="AS257" s="133"/>
      <c r="AT257" s="133"/>
      <c r="AU257" s="133"/>
      <c r="AV257" s="133"/>
    </row>
    <row r="258" ht="19.5" customHeight="1" spans="1:48">
      <c r="A258" s="146"/>
      <c r="B258" s="146"/>
      <c r="C258" s="39"/>
      <c r="D258" s="151"/>
      <c r="E258" s="114" t="s">
        <v>43</v>
      </c>
      <c r="F258" s="118">
        <f t="shared" ref="F258:AK258" si="104">F257/F252</f>
        <v>0</v>
      </c>
      <c r="G258" s="119">
        <f t="shared" si="104"/>
        <v>0</v>
      </c>
      <c r="H258" s="119">
        <f t="shared" si="104"/>
        <v>0</v>
      </c>
      <c r="I258" s="119">
        <f t="shared" si="104"/>
        <v>0</v>
      </c>
      <c r="J258" s="119">
        <f t="shared" si="104"/>
        <v>0</v>
      </c>
      <c r="K258" s="119">
        <f t="shared" si="104"/>
        <v>0</v>
      </c>
      <c r="L258" s="119">
        <f t="shared" si="104"/>
        <v>0</v>
      </c>
      <c r="M258" s="119">
        <f t="shared" si="104"/>
        <v>0</v>
      </c>
      <c r="N258" s="119">
        <f t="shared" si="104"/>
        <v>0</v>
      </c>
      <c r="O258" s="119">
        <f t="shared" si="104"/>
        <v>0</v>
      </c>
      <c r="P258" s="119">
        <f t="shared" si="104"/>
        <v>0</v>
      </c>
      <c r="Q258" s="119">
        <f t="shared" si="104"/>
        <v>0</v>
      </c>
      <c r="R258" s="119">
        <f t="shared" si="104"/>
        <v>0</v>
      </c>
      <c r="S258" s="119">
        <f t="shared" si="104"/>
        <v>0</v>
      </c>
      <c r="T258" s="119">
        <f t="shared" si="104"/>
        <v>0</v>
      </c>
      <c r="U258" s="119">
        <f t="shared" si="104"/>
        <v>0</v>
      </c>
      <c r="V258" s="119">
        <f t="shared" si="104"/>
        <v>0</v>
      </c>
      <c r="W258" s="119">
        <f t="shared" si="104"/>
        <v>0</v>
      </c>
      <c r="X258" s="119">
        <f t="shared" si="104"/>
        <v>0</v>
      </c>
      <c r="Y258" s="119">
        <f t="shared" si="104"/>
        <v>0</v>
      </c>
      <c r="Z258" s="119">
        <f t="shared" si="104"/>
        <v>0</v>
      </c>
      <c r="AA258" s="119">
        <f t="shared" si="104"/>
        <v>0</v>
      </c>
      <c r="AB258" s="119">
        <f t="shared" si="104"/>
        <v>0</v>
      </c>
      <c r="AC258" s="119">
        <f t="shared" si="104"/>
        <v>0</v>
      </c>
      <c r="AD258" s="119">
        <f t="shared" si="104"/>
        <v>0</v>
      </c>
      <c r="AE258" s="119">
        <f t="shared" si="104"/>
        <v>0</v>
      </c>
      <c r="AF258" s="119">
        <f t="shared" si="104"/>
        <v>0</v>
      </c>
      <c r="AG258" s="119">
        <f t="shared" si="104"/>
        <v>0</v>
      </c>
      <c r="AH258" s="119">
        <f t="shared" si="104"/>
        <v>0</v>
      </c>
      <c r="AI258" s="119">
        <f t="shared" si="104"/>
        <v>0</v>
      </c>
      <c r="AJ258" s="119">
        <f t="shared" si="104"/>
        <v>0</v>
      </c>
      <c r="AK258" s="119">
        <f t="shared" si="104"/>
        <v>0</v>
      </c>
      <c r="AN258" s="133"/>
      <c r="AO258" s="133"/>
      <c r="AP258" s="133"/>
      <c r="AQ258" s="133"/>
      <c r="AR258" s="133"/>
      <c r="AS258" s="133"/>
      <c r="AT258" s="133"/>
      <c r="AU258" s="133"/>
      <c r="AV258" s="133"/>
    </row>
    <row r="259" ht="19.5" customHeight="1" spans="1:48">
      <c r="A259" s="146"/>
      <c r="B259" s="146"/>
      <c r="C259" s="39"/>
      <c r="D259" s="151"/>
      <c r="E259" s="114" t="s">
        <v>47</v>
      </c>
      <c r="F259" s="104">
        <f t="shared" ref="F259:AK259" si="105">IFERROR(I415/F257,0)</f>
        <v>0</v>
      </c>
      <c r="G259" s="104">
        <f t="shared" si="105"/>
        <v>0</v>
      </c>
      <c r="H259" s="104">
        <f t="shared" si="105"/>
        <v>0</v>
      </c>
      <c r="I259" s="104">
        <f t="shared" si="105"/>
        <v>0</v>
      </c>
      <c r="J259" s="104">
        <f t="shared" si="105"/>
        <v>0</v>
      </c>
      <c r="K259" s="104">
        <f t="shared" si="105"/>
        <v>0</v>
      </c>
      <c r="L259" s="104">
        <f t="shared" si="105"/>
        <v>0</v>
      </c>
      <c r="M259" s="104">
        <f t="shared" si="105"/>
        <v>0</v>
      </c>
      <c r="N259" s="104">
        <f t="shared" si="105"/>
        <v>0</v>
      </c>
      <c r="O259" s="104">
        <f t="shared" si="105"/>
        <v>0</v>
      </c>
      <c r="P259" s="104">
        <f t="shared" si="105"/>
        <v>0</v>
      </c>
      <c r="Q259" s="104">
        <f t="shared" si="105"/>
        <v>0</v>
      </c>
      <c r="R259" s="104">
        <f t="shared" si="105"/>
        <v>0</v>
      </c>
      <c r="S259" s="104">
        <f t="shared" si="105"/>
        <v>0</v>
      </c>
      <c r="T259" s="104">
        <f t="shared" si="105"/>
        <v>0</v>
      </c>
      <c r="U259" s="104">
        <f t="shared" si="105"/>
        <v>0</v>
      </c>
      <c r="V259" s="104">
        <f t="shared" si="105"/>
        <v>0</v>
      </c>
      <c r="W259" s="104">
        <f t="shared" si="105"/>
        <v>0</v>
      </c>
      <c r="X259" s="104">
        <f t="shared" si="105"/>
        <v>0</v>
      </c>
      <c r="Y259" s="104">
        <f t="shared" si="105"/>
        <v>0</v>
      </c>
      <c r="Z259" s="104">
        <f t="shared" si="105"/>
        <v>0</v>
      </c>
      <c r="AA259" s="104">
        <f t="shared" si="105"/>
        <v>0</v>
      </c>
      <c r="AB259" s="104">
        <f t="shared" si="105"/>
        <v>0</v>
      </c>
      <c r="AC259" s="104">
        <f t="shared" si="105"/>
        <v>0</v>
      </c>
      <c r="AD259" s="104">
        <f t="shared" si="105"/>
        <v>0</v>
      </c>
      <c r="AE259" s="104">
        <f t="shared" si="105"/>
        <v>0</v>
      </c>
      <c r="AF259" s="104">
        <f t="shared" si="105"/>
        <v>0</v>
      </c>
      <c r="AG259" s="104">
        <f t="shared" si="105"/>
        <v>0</v>
      </c>
      <c r="AH259" s="104">
        <f t="shared" si="105"/>
        <v>0</v>
      </c>
      <c r="AI259" s="104">
        <f t="shared" si="105"/>
        <v>0</v>
      </c>
      <c r="AJ259" s="104">
        <f t="shared" si="105"/>
        <v>0</v>
      </c>
      <c r="AK259" s="104">
        <f t="shared" si="105"/>
        <v>0</v>
      </c>
      <c r="AN259" s="133"/>
      <c r="AO259" s="133"/>
      <c r="AP259" s="133"/>
      <c r="AQ259" s="133"/>
      <c r="AR259" s="133"/>
      <c r="AS259" s="133"/>
      <c r="AT259" s="133"/>
      <c r="AU259" s="133"/>
      <c r="AV259" s="133"/>
    </row>
    <row r="260" ht="19.5" customHeight="1" spans="1:48">
      <c r="A260" s="77" t="s">
        <v>98</v>
      </c>
      <c r="B260" s="78">
        <v>751</v>
      </c>
      <c r="C260" s="39"/>
      <c r="D260" s="130" t="s">
        <v>87</v>
      </c>
      <c r="E260" s="115" t="s">
        <v>82</v>
      </c>
      <c r="F260" s="110">
        <f>SUM(G260:AK260)</f>
        <v>113.182423435419</v>
      </c>
      <c r="G260" s="111">
        <f t="shared" ref="G260:AK260" si="106">G261/$B$260</f>
        <v>3.39547270306258</v>
      </c>
      <c r="H260" s="111">
        <f t="shared" si="106"/>
        <v>3.39547270306258</v>
      </c>
      <c r="I260" s="111">
        <f t="shared" si="106"/>
        <v>3.39547270306258</v>
      </c>
      <c r="J260" s="111">
        <f t="shared" si="106"/>
        <v>3.39547270306258</v>
      </c>
      <c r="K260" s="111">
        <f t="shared" si="106"/>
        <v>3.39547270306258</v>
      </c>
      <c r="L260" s="111">
        <f t="shared" si="106"/>
        <v>2.26364846870839</v>
      </c>
      <c r="M260" s="111">
        <f t="shared" si="106"/>
        <v>6.79094540612517</v>
      </c>
      <c r="N260" s="111">
        <f t="shared" si="106"/>
        <v>3.39547270306258</v>
      </c>
      <c r="O260" s="111">
        <f t="shared" si="106"/>
        <v>4.52729693741678</v>
      </c>
      <c r="P260" s="111">
        <f t="shared" si="106"/>
        <v>3.39547270306258</v>
      </c>
      <c r="Q260" s="111">
        <f t="shared" si="106"/>
        <v>3.39547270306258</v>
      </c>
      <c r="R260" s="111">
        <f t="shared" si="106"/>
        <v>3.39547270306258</v>
      </c>
      <c r="S260" s="111">
        <f t="shared" si="106"/>
        <v>3.39547270306258</v>
      </c>
      <c r="T260" s="111">
        <f t="shared" si="106"/>
        <v>3.39547270306258</v>
      </c>
      <c r="U260" s="111">
        <f t="shared" si="106"/>
        <v>3.39547270306258</v>
      </c>
      <c r="V260" s="111">
        <f t="shared" si="106"/>
        <v>3.39547270306258</v>
      </c>
      <c r="W260" s="111">
        <f t="shared" si="106"/>
        <v>6.79094540612517</v>
      </c>
      <c r="X260" s="111">
        <f t="shared" si="106"/>
        <v>3.39547270306258</v>
      </c>
      <c r="Y260" s="111">
        <f t="shared" si="106"/>
        <v>4.52729693741678</v>
      </c>
      <c r="Z260" s="111">
        <f t="shared" si="106"/>
        <v>2.26364846870839</v>
      </c>
      <c r="AA260" s="111">
        <f t="shared" si="106"/>
        <v>3.39547270306258</v>
      </c>
      <c r="AB260" s="111">
        <f t="shared" si="106"/>
        <v>3.39547270306258</v>
      </c>
      <c r="AC260" s="111">
        <f t="shared" si="106"/>
        <v>3.39547270306258</v>
      </c>
      <c r="AD260" s="111">
        <f t="shared" si="106"/>
        <v>2.26364846870839</v>
      </c>
      <c r="AE260" s="111">
        <f t="shared" si="106"/>
        <v>4.52729693741678</v>
      </c>
      <c r="AF260" s="111">
        <f t="shared" si="106"/>
        <v>4.52729693741678</v>
      </c>
      <c r="AG260" s="111">
        <f t="shared" si="106"/>
        <v>3.39547270306258</v>
      </c>
      <c r="AH260" s="111">
        <f t="shared" si="106"/>
        <v>4.52729693741678</v>
      </c>
      <c r="AI260" s="111">
        <f t="shared" si="106"/>
        <v>3.39547270306258</v>
      </c>
      <c r="AJ260" s="111">
        <f t="shared" si="106"/>
        <v>3.39547270306258</v>
      </c>
      <c r="AK260" s="111">
        <f t="shared" si="106"/>
        <v>2.26364846870839</v>
      </c>
      <c r="AN260" s="133"/>
      <c r="AO260" s="133"/>
      <c r="AP260" s="133"/>
      <c r="AQ260" s="133"/>
      <c r="AR260" s="133"/>
      <c r="AS260" s="133"/>
      <c r="AT260" s="133"/>
      <c r="AU260" s="133"/>
      <c r="AV260" s="133"/>
    </row>
    <row r="261" ht="19.5" customHeight="1" spans="1:48">
      <c r="A261" s="81" t="s">
        <v>83</v>
      </c>
      <c r="B261" s="81">
        <v>0.17</v>
      </c>
      <c r="C261" s="39"/>
      <c r="D261" s="151"/>
      <c r="E261" s="114" t="s">
        <v>41</v>
      </c>
      <c r="F261" s="110">
        <f>SUM(G261:AK261)</f>
        <v>85000</v>
      </c>
      <c r="G261" s="56">
        <f t="shared" ref="G261:AK261" si="107">$B$262*G8</f>
        <v>2550</v>
      </c>
      <c r="H261" s="56">
        <f t="shared" si="107"/>
        <v>2550</v>
      </c>
      <c r="I261" s="56">
        <f t="shared" si="107"/>
        <v>2550</v>
      </c>
      <c r="J261" s="56">
        <f t="shared" si="107"/>
        <v>2550</v>
      </c>
      <c r="K261" s="56">
        <f t="shared" si="107"/>
        <v>2550</v>
      </c>
      <c r="L261" s="56">
        <f t="shared" si="107"/>
        <v>1700</v>
      </c>
      <c r="M261" s="56">
        <f t="shared" si="107"/>
        <v>5100</v>
      </c>
      <c r="N261" s="56">
        <f t="shared" si="107"/>
        <v>2550</v>
      </c>
      <c r="O261" s="56">
        <f t="shared" si="107"/>
        <v>3400</v>
      </c>
      <c r="P261" s="56">
        <f t="shared" si="107"/>
        <v>2550</v>
      </c>
      <c r="Q261" s="56">
        <f t="shared" si="107"/>
        <v>2550</v>
      </c>
      <c r="R261" s="56">
        <f t="shared" si="107"/>
        <v>2550</v>
      </c>
      <c r="S261" s="56">
        <f t="shared" si="107"/>
        <v>2550</v>
      </c>
      <c r="T261" s="56">
        <f t="shared" si="107"/>
        <v>2550</v>
      </c>
      <c r="U261" s="56">
        <f t="shared" si="107"/>
        <v>2550</v>
      </c>
      <c r="V261" s="56">
        <f t="shared" si="107"/>
        <v>2550</v>
      </c>
      <c r="W261" s="56">
        <f t="shared" si="107"/>
        <v>5100</v>
      </c>
      <c r="X261" s="56">
        <f t="shared" si="107"/>
        <v>2550</v>
      </c>
      <c r="Y261" s="56">
        <f t="shared" si="107"/>
        <v>3400</v>
      </c>
      <c r="Z261" s="56">
        <f t="shared" si="107"/>
        <v>1700</v>
      </c>
      <c r="AA261" s="56">
        <f t="shared" si="107"/>
        <v>2550</v>
      </c>
      <c r="AB261" s="56">
        <f t="shared" si="107"/>
        <v>2550</v>
      </c>
      <c r="AC261" s="56">
        <f t="shared" si="107"/>
        <v>2550</v>
      </c>
      <c r="AD261" s="56">
        <f t="shared" si="107"/>
        <v>1700</v>
      </c>
      <c r="AE261" s="56">
        <f t="shared" si="107"/>
        <v>3400</v>
      </c>
      <c r="AF261" s="56">
        <f t="shared" si="107"/>
        <v>3400</v>
      </c>
      <c r="AG261" s="56">
        <f t="shared" si="107"/>
        <v>2550</v>
      </c>
      <c r="AH261" s="56">
        <f t="shared" si="107"/>
        <v>3400</v>
      </c>
      <c r="AI261" s="56">
        <f t="shared" si="107"/>
        <v>2550</v>
      </c>
      <c r="AJ261" s="56">
        <f t="shared" si="107"/>
        <v>2550</v>
      </c>
      <c r="AK261" s="56">
        <f t="shared" si="107"/>
        <v>1700</v>
      </c>
      <c r="AN261" s="133"/>
      <c r="AO261" s="133"/>
      <c r="AP261" s="133"/>
      <c r="AQ261" s="133"/>
      <c r="AR261" s="133"/>
      <c r="AS261" s="133"/>
      <c r="AT261" s="133"/>
      <c r="AU261" s="133"/>
      <c r="AV261" s="133"/>
    </row>
    <row r="262" ht="19.5" customHeight="1" spans="1:48">
      <c r="A262" s="78" t="s">
        <v>41</v>
      </c>
      <c r="B262" s="77">
        <f>B261*$B$40</f>
        <v>85000</v>
      </c>
      <c r="C262" s="39"/>
      <c r="D262" s="151"/>
      <c r="E262" s="115" t="s">
        <v>46</v>
      </c>
      <c r="F262" s="139">
        <f t="shared" ref="F262:AK262" si="108">F263/F261</f>
        <v>0.137647058823529</v>
      </c>
      <c r="G262" s="139">
        <f t="shared" si="108"/>
        <v>0.137647058823529</v>
      </c>
      <c r="H262" s="139">
        <f t="shared" si="108"/>
        <v>0.137647058823529</v>
      </c>
      <c r="I262" s="139">
        <f t="shared" si="108"/>
        <v>0.137647058823529</v>
      </c>
      <c r="J262" s="139">
        <f t="shared" si="108"/>
        <v>0.137647058823529</v>
      </c>
      <c r="K262" s="139">
        <f t="shared" si="108"/>
        <v>0.137647058823529</v>
      </c>
      <c r="L262" s="139">
        <f t="shared" si="108"/>
        <v>0.137647058823529</v>
      </c>
      <c r="M262" s="139">
        <f t="shared" si="108"/>
        <v>0.137647058823529</v>
      </c>
      <c r="N262" s="139">
        <f t="shared" si="108"/>
        <v>0.137647058823529</v>
      </c>
      <c r="O262" s="139">
        <f t="shared" si="108"/>
        <v>0.137647058823529</v>
      </c>
      <c r="P262" s="139">
        <f t="shared" si="108"/>
        <v>0.137647058823529</v>
      </c>
      <c r="Q262" s="139">
        <f t="shared" si="108"/>
        <v>0.137647058823529</v>
      </c>
      <c r="R262" s="139">
        <f t="shared" si="108"/>
        <v>0.137647058823529</v>
      </c>
      <c r="S262" s="139">
        <f t="shared" si="108"/>
        <v>0.137647058823529</v>
      </c>
      <c r="T262" s="139">
        <f t="shared" si="108"/>
        <v>0.137647058823529</v>
      </c>
      <c r="U262" s="139">
        <f t="shared" si="108"/>
        <v>0.137647058823529</v>
      </c>
      <c r="V262" s="139">
        <f t="shared" si="108"/>
        <v>0.137647058823529</v>
      </c>
      <c r="W262" s="139">
        <f t="shared" si="108"/>
        <v>0.137647058823529</v>
      </c>
      <c r="X262" s="139">
        <f t="shared" si="108"/>
        <v>0.137647058823529</v>
      </c>
      <c r="Y262" s="139">
        <f t="shared" si="108"/>
        <v>0.137647058823529</v>
      </c>
      <c r="Z262" s="139">
        <f t="shared" si="108"/>
        <v>0.137647058823529</v>
      </c>
      <c r="AA262" s="139">
        <f t="shared" si="108"/>
        <v>0.137647058823529</v>
      </c>
      <c r="AB262" s="139">
        <f t="shared" si="108"/>
        <v>0.137647058823529</v>
      </c>
      <c r="AC262" s="139">
        <f t="shared" si="108"/>
        <v>0.137647058823529</v>
      </c>
      <c r="AD262" s="139">
        <f t="shared" si="108"/>
        <v>0.137647058823529</v>
      </c>
      <c r="AE262" s="139">
        <f t="shared" si="108"/>
        <v>0.137647058823529</v>
      </c>
      <c r="AF262" s="139">
        <f t="shared" si="108"/>
        <v>0.137647058823529</v>
      </c>
      <c r="AG262" s="139">
        <f t="shared" si="108"/>
        <v>0.137647058823529</v>
      </c>
      <c r="AH262" s="139">
        <f t="shared" si="108"/>
        <v>0.137647058823529</v>
      </c>
      <c r="AI262" s="139">
        <f t="shared" si="108"/>
        <v>0.137647058823529</v>
      </c>
      <c r="AJ262" s="139">
        <f t="shared" si="108"/>
        <v>0.137647058823529</v>
      </c>
      <c r="AK262" s="139">
        <f t="shared" si="108"/>
        <v>0.137647058823529</v>
      </c>
      <c r="AN262" s="133"/>
      <c r="AO262" s="133"/>
      <c r="AP262" s="133"/>
      <c r="AQ262" s="133"/>
      <c r="AR262" s="133"/>
      <c r="AS262" s="133"/>
      <c r="AT262" s="133"/>
      <c r="AU262" s="133"/>
      <c r="AV262" s="133"/>
    </row>
    <row r="263" ht="19.5" customHeight="1" spans="1:48">
      <c r="A263" s="85" t="s">
        <v>84</v>
      </c>
      <c r="B263" s="81">
        <v>0.18</v>
      </c>
      <c r="C263" s="39"/>
      <c r="D263" s="151"/>
      <c r="E263" s="86" t="s">
        <v>45</v>
      </c>
      <c r="F263" s="110">
        <f>SUM(G263:AK263)</f>
        <v>11700</v>
      </c>
      <c r="G263" s="141">
        <f t="shared" ref="G263:AK263" si="109">$B$264*G8</f>
        <v>351</v>
      </c>
      <c r="H263" s="141">
        <f t="shared" si="109"/>
        <v>351</v>
      </c>
      <c r="I263" s="141">
        <f t="shared" si="109"/>
        <v>351</v>
      </c>
      <c r="J263" s="141">
        <f t="shared" si="109"/>
        <v>351</v>
      </c>
      <c r="K263" s="141">
        <f t="shared" si="109"/>
        <v>351</v>
      </c>
      <c r="L263" s="141">
        <f t="shared" si="109"/>
        <v>234</v>
      </c>
      <c r="M263" s="141">
        <f t="shared" si="109"/>
        <v>702</v>
      </c>
      <c r="N263" s="141">
        <f t="shared" si="109"/>
        <v>351</v>
      </c>
      <c r="O263" s="141">
        <f t="shared" si="109"/>
        <v>468</v>
      </c>
      <c r="P263" s="141">
        <f t="shared" si="109"/>
        <v>351</v>
      </c>
      <c r="Q263" s="141">
        <f t="shared" si="109"/>
        <v>351</v>
      </c>
      <c r="R263" s="141">
        <f t="shared" si="109"/>
        <v>351</v>
      </c>
      <c r="S263" s="141">
        <f t="shared" si="109"/>
        <v>351</v>
      </c>
      <c r="T263" s="141">
        <f t="shared" si="109"/>
        <v>351</v>
      </c>
      <c r="U263" s="141">
        <f t="shared" si="109"/>
        <v>351</v>
      </c>
      <c r="V263" s="141">
        <f t="shared" si="109"/>
        <v>351</v>
      </c>
      <c r="W263" s="141">
        <f t="shared" si="109"/>
        <v>702</v>
      </c>
      <c r="X263" s="141">
        <f t="shared" si="109"/>
        <v>351</v>
      </c>
      <c r="Y263" s="141">
        <f t="shared" si="109"/>
        <v>468</v>
      </c>
      <c r="Z263" s="141">
        <f t="shared" si="109"/>
        <v>234</v>
      </c>
      <c r="AA263" s="141">
        <f t="shared" si="109"/>
        <v>351</v>
      </c>
      <c r="AB263" s="141">
        <f t="shared" si="109"/>
        <v>351</v>
      </c>
      <c r="AC263" s="141">
        <f t="shared" si="109"/>
        <v>351</v>
      </c>
      <c r="AD263" s="141">
        <f t="shared" si="109"/>
        <v>234</v>
      </c>
      <c r="AE263" s="141">
        <f t="shared" si="109"/>
        <v>468</v>
      </c>
      <c r="AF263" s="141">
        <f t="shared" si="109"/>
        <v>468</v>
      </c>
      <c r="AG263" s="141">
        <f t="shared" si="109"/>
        <v>351</v>
      </c>
      <c r="AH263" s="141">
        <f t="shared" si="109"/>
        <v>468</v>
      </c>
      <c r="AI263" s="141">
        <f t="shared" si="109"/>
        <v>351</v>
      </c>
      <c r="AJ263" s="141">
        <f t="shared" si="109"/>
        <v>351</v>
      </c>
      <c r="AK263" s="141">
        <f t="shared" si="109"/>
        <v>234</v>
      </c>
      <c r="AN263" s="133"/>
      <c r="AO263" s="133"/>
      <c r="AP263" s="133"/>
      <c r="AQ263" s="133"/>
      <c r="AR263" s="133"/>
      <c r="AS263" s="133"/>
      <c r="AT263" s="133"/>
      <c r="AU263" s="133"/>
      <c r="AV263" s="133"/>
    </row>
    <row r="264" ht="19.5" customHeight="1" spans="1:48">
      <c r="A264" s="78" t="s">
        <v>45</v>
      </c>
      <c r="B264" s="77">
        <f>B263*$B$44</f>
        <v>11700</v>
      </c>
      <c r="C264" s="39"/>
      <c r="D264" s="151"/>
      <c r="E264" s="86" t="s">
        <v>44</v>
      </c>
      <c r="F264" s="116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6"/>
      <c r="V264" s="116"/>
      <c r="W264" s="116"/>
      <c r="X264" s="116"/>
      <c r="Y264" s="116"/>
      <c r="Z264" s="116"/>
      <c r="AA264" s="116"/>
      <c r="AB264" s="116"/>
      <c r="AC264" s="116"/>
      <c r="AD264" s="116"/>
      <c r="AE264" s="116"/>
      <c r="AF264" s="116"/>
      <c r="AG264" s="116"/>
      <c r="AH264" s="116"/>
      <c r="AI264" s="116"/>
      <c r="AJ264" s="116"/>
      <c r="AK264" s="116"/>
      <c r="AN264" s="133"/>
      <c r="AO264" s="133"/>
      <c r="AP264" s="133"/>
      <c r="AQ264" s="133"/>
      <c r="AR264" s="133"/>
      <c r="AS264" s="133"/>
      <c r="AT264" s="133"/>
      <c r="AU264" s="133"/>
      <c r="AV264" s="133"/>
    </row>
    <row r="265" ht="19.5" customHeight="1" spans="1:48">
      <c r="A265" s="78" t="s">
        <v>46</v>
      </c>
      <c r="B265" s="87">
        <f>B264/B262</f>
        <v>0.137647058823529</v>
      </c>
      <c r="C265" s="39"/>
      <c r="D265" s="151"/>
      <c r="E265" s="114" t="s">
        <v>85</v>
      </c>
      <c r="F265" s="42">
        <f>SUM(G265:AK265)</f>
        <v>0</v>
      </c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  <c r="AA265" s="117"/>
      <c r="AB265" s="117"/>
      <c r="AC265" s="117"/>
      <c r="AD265" s="117"/>
      <c r="AE265" s="117"/>
      <c r="AF265" s="117"/>
      <c r="AG265" s="117"/>
      <c r="AH265" s="117"/>
      <c r="AI265" s="117"/>
      <c r="AJ265" s="117"/>
      <c r="AK265" s="117"/>
      <c r="AN265" s="133"/>
      <c r="AO265" s="133"/>
      <c r="AP265" s="133"/>
      <c r="AQ265" s="133"/>
      <c r="AR265" s="133"/>
      <c r="AS265" s="133"/>
      <c r="AT265" s="133"/>
      <c r="AU265" s="133"/>
      <c r="AV265" s="133"/>
    </row>
    <row r="266" ht="19.5" customHeight="1" spans="1:48">
      <c r="A266" s="146"/>
      <c r="B266" s="147"/>
      <c r="C266" s="39"/>
      <c r="D266" s="151"/>
      <c r="E266" s="114" t="s">
        <v>86</v>
      </c>
      <c r="F266" s="42">
        <f>SUM(G266:AK266)</f>
        <v>0</v>
      </c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  <c r="AA266" s="117"/>
      <c r="AB266" s="117"/>
      <c r="AC266" s="117"/>
      <c r="AD266" s="117"/>
      <c r="AE266" s="117"/>
      <c r="AF266" s="117"/>
      <c r="AG266" s="117"/>
      <c r="AH266" s="117"/>
      <c r="AI266" s="117"/>
      <c r="AJ266" s="117"/>
      <c r="AK266" s="117"/>
      <c r="AN266" s="133"/>
      <c r="AO266" s="133"/>
      <c r="AP266" s="133"/>
      <c r="AQ266" s="133"/>
      <c r="AR266" s="133"/>
      <c r="AS266" s="133"/>
      <c r="AT266" s="133"/>
      <c r="AU266" s="133"/>
      <c r="AV266" s="133"/>
    </row>
    <row r="267" ht="19.5" customHeight="1" spans="1:48">
      <c r="A267" s="146"/>
      <c r="B267" s="146"/>
      <c r="C267" s="39"/>
      <c r="D267" s="151"/>
      <c r="E267" s="114" t="s">
        <v>43</v>
      </c>
      <c r="F267" s="118">
        <f t="shared" ref="F267:AK267" si="110">F266/F261</f>
        <v>0</v>
      </c>
      <c r="G267" s="119">
        <f t="shared" si="110"/>
        <v>0</v>
      </c>
      <c r="H267" s="119">
        <f t="shared" si="110"/>
        <v>0</v>
      </c>
      <c r="I267" s="119">
        <f t="shared" si="110"/>
        <v>0</v>
      </c>
      <c r="J267" s="119">
        <f t="shared" si="110"/>
        <v>0</v>
      </c>
      <c r="K267" s="119">
        <f t="shared" si="110"/>
        <v>0</v>
      </c>
      <c r="L267" s="119">
        <f t="shared" si="110"/>
        <v>0</v>
      </c>
      <c r="M267" s="119">
        <f t="shared" si="110"/>
        <v>0</v>
      </c>
      <c r="N267" s="119">
        <f t="shared" si="110"/>
        <v>0</v>
      </c>
      <c r="O267" s="119">
        <f t="shared" si="110"/>
        <v>0</v>
      </c>
      <c r="P267" s="119">
        <f t="shared" si="110"/>
        <v>0</v>
      </c>
      <c r="Q267" s="119">
        <f t="shared" si="110"/>
        <v>0</v>
      </c>
      <c r="R267" s="119">
        <f t="shared" si="110"/>
        <v>0</v>
      </c>
      <c r="S267" s="119">
        <f t="shared" si="110"/>
        <v>0</v>
      </c>
      <c r="T267" s="119">
        <f t="shared" si="110"/>
        <v>0</v>
      </c>
      <c r="U267" s="119">
        <f t="shared" si="110"/>
        <v>0</v>
      </c>
      <c r="V267" s="119">
        <f t="shared" si="110"/>
        <v>0</v>
      </c>
      <c r="W267" s="119">
        <f t="shared" si="110"/>
        <v>0</v>
      </c>
      <c r="X267" s="119">
        <f t="shared" si="110"/>
        <v>0</v>
      </c>
      <c r="Y267" s="119">
        <f t="shared" si="110"/>
        <v>0</v>
      </c>
      <c r="Z267" s="119">
        <f t="shared" si="110"/>
        <v>0</v>
      </c>
      <c r="AA267" s="119">
        <f t="shared" si="110"/>
        <v>0</v>
      </c>
      <c r="AB267" s="119">
        <f t="shared" si="110"/>
        <v>0</v>
      </c>
      <c r="AC267" s="119">
        <f t="shared" si="110"/>
        <v>0</v>
      </c>
      <c r="AD267" s="119">
        <f t="shared" si="110"/>
        <v>0</v>
      </c>
      <c r="AE267" s="119">
        <f t="shared" si="110"/>
        <v>0</v>
      </c>
      <c r="AF267" s="119">
        <f t="shared" si="110"/>
        <v>0</v>
      </c>
      <c r="AG267" s="119">
        <f t="shared" si="110"/>
        <v>0</v>
      </c>
      <c r="AH267" s="119">
        <f t="shared" si="110"/>
        <v>0</v>
      </c>
      <c r="AI267" s="119">
        <f t="shared" si="110"/>
        <v>0</v>
      </c>
      <c r="AJ267" s="119">
        <f t="shared" si="110"/>
        <v>0</v>
      </c>
      <c r="AK267" s="119">
        <f t="shared" si="110"/>
        <v>0</v>
      </c>
      <c r="AN267" s="133"/>
      <c r="AO267" s="133"/>
      <c r="AP267" s="133"/>
      <c r="AQ267" s="133"/>
      <c r="AR267" s="133"/>
      <c r="AS267" s="133"/>
      <c r="AT267" s="133"/>
      <c r="AU267" s="133"/>
      <c r="AV267" s="133"/>
    </row>
    <row r="268" ht="19.5" customHeight="1" spans="1:48">
      <c r="A268" s="146"/>
      <c r="B268" s="146"/>
      <c r="C268" s="39"/>
      <c r="D268" s="151"/>
      <c r="E268" s="114" t="s">
        <v>47</v>
      </c>
      <c r="F268" s="104">
        <f t="shared" ref="F268:AK268" si="111">IFERROR(I433/F266,0)</f>
        <v>0</v>
      </c>
      <c r="G268" s="104">
        <f t="shared" si="111"/>
        <v>0</v>
      </c>
      <c r="H268" s="104">
        <f t="shared" si="111"/>
        <v>0</v>
      </c>
      <c r="I268" s="104">
        <f t="shared" si="111"/>
        <v>0</v>
      </c>
      <c r="J268" s="104">
        <f t="shared" si="111"/>
        <v>0</v>
      </c>
      <c r="K268" s="104">
        <f t="shared" si="111"/>
        <v>0</v>
      </c>
      <c r="L268" s="104">
        <f t="shared" si="111"/>
        <v>0</v>
      </c>
      <c r="M268" s="104">
        <f t="shared" si="111"/>
        <v>0</v>
      </c>
      <c r="N268" s="104">
        <f t="shared" si="111"/>
        <v>0</v>
      </c>
      <c r="O268" s="104">
        <f t="shared" si="111"/>
        <v>0</v>
      </c>
      <c r="P268" s="104">
        <f t="shared" si="111"/>
        <v>0</v>
      </c>
      <c r="Q268" s="104">
        <f t="shared" si="111"/>
        <v>0</v>
      </c>
      <c r="R268" s="104">
        <f t="shared" si="111"/>
        <v>0</v>
      </c>
      <c r="S268" s="104">
        <f t="shared" si="111"/>
        <v>0</v>
      </c>
      <c r="T268" s="104">
        <f t="shared" si="111"/>
        <v>0</v>
      </c>
      <c r="U268" s="104">
        <f t="shared" si="111"/>
        <v>0</v>
      </c>
      <c r="V268" s="104">
        <f t="shared" si="111"/>
        <v>0</v>
      </c>
      <c r="W268" s="104">
        <f t="shared" si="111"/>
        <v>0</v>
      </c>
      <c r="X268" s="104">
        <f t="shared" si="111"/>
        <v>0</v>
      </c>
      <c r="Y268" s="104">
        <f t="shared" si="111"/>
        <v>0</v>
      </c>
      <c r="Z268" s="104">
        <f t="shared" si="111"/>
        <v>0</v>
      </c>
      <c r="AA268" s="104">
        <f t="shared" si="111"/>
        <v>0</v>
      </c>
      <c r="AB268" s="104">
        <f t="shared" si="111"/>
        <v>0</v>
      </c>
      <c r="AC268" s="104">
        <f t="shared" si="111"/>
        <v>0</v>
      </c>
      <c r="AD268" s="104">
        <f t="shared" si="111"/>
        <v>0</v>
      </c>
      <c r="AE268" s="104">
        <f t="shared" si="111"/>
        <v>0</v>
      </c>
      <c r="AF268" s="104">
        <f t="shared" si="111"/>
        <v>0</v>
      </c>
      <c r="AG268" s="104">
        <f t="shared" si="111"/>
        <v>0</v>
      </c>
      <c r="AH268" s="104">
        <f t="shared" si="111"/>
        <v>0</v>
      </c>
      <c r="AI268" s="104">
        <f t="shared" si="111"/>
        <v>0</v>
      </c>
      <c r="AJ268" s="104">
        <f t="shared" si="111"/>
        <v>0</v>
      </c>
      <c r="AK268" s="104">
        <f t="shared" si="111"/>
        <v>0</v>
      </c>
      <c r="AN268" s="133"/>
      <c r="AO268" s="133"/>
      <c r="AP268" s="133"/>
      <c r="AQ268" s="133"/>
      <c r="AR268" s="133"/>
      <c r="AS268" s="133"/>
      <c r="AT268" s="133"/>
      <c r="AU268" s="133"/>
      <c r="AV268" s="133"/>
    </row>
    <row r="269" ht="19.5" customHeight="1" spans="1:48">
      <c r="A269" s="77" t="s">
        <v>98</v>
      </c>
      <c r="B269" s="78">
        <v>365</v>
      </c>
      <c r="C269" s="39"/>
      <c r="D269" s="130" t="s">
        <v>92</v>
      </c>
      <c r="E269" s="115" t="s">
        <v>82</v>
      </c>
      <c r="F269" s="110">
        <f>SUM(G269:AK269)</f>
        <v>27.3972602739726</v>
      </c>
      <c r="G269" s="111">
        <f t="shared" ref="G269:AK269" si="112">G270/$B$269</f>
        <v>0.821917808219178</v>
      </c>
      <c r="H269" s="111">
        <f t="shared" si="112"/>
        <v>0.821917808219178</v>
      </c>
      <c r="I269" s="111">
        <f t="shared" si="112"/>
        <v>0.821917808219178</v>
      </c>
      <c r="J269" s="111">
        <f t="shared" si="112"/>
        <v>0.821917808219178</v>
      </c>
      <c r="K269" s="111">
        <f t="shared" si="112"/>
        <v>0.821917808219178</v>
      </c>
      <c r="L269" s="111">
        <f t="shared" si="112"/>
        <v>0.547945205479452</v>
      </c>
      <c r="M269" s="111">
        <f t="shared" si="112"/>
        <v>1.64383561643836</v>
      </c>
      <c r="N269" s="111">
        <f t="shared" si="112"/>
        <v>0.821917808219178</v>
      </c>
      <c r="O269" s="111">
        <f t="shared" si="112"/>
        <v>1.0958904109589</v>
      </c>
      <c r="P269" s="111">
        <f t="shared" si="112"/>
        <v>0.821917808219178</v>
      </c>
      <c r="Q269" s="111">
        <f t="shared" si="112"/>
        <v>0.821917808219178</v>
      </c>
      <c r="R269" s="111">
        <f t="shared" si="112"/>
        <v>0.821917808219178</v>
      </c>
      <c r="S269" s="111">
        <f t="shared" si="112"/>
        <v>0.821917808219178</v>
      </c>
      <c r="T269" s="111">
        <f t="shared" si="112"/>
        <v>0.821917808219178</v>
      </c>
      <c r="U269" s="111">
        <f t="shared" si="112"/>
        <v>0.821917808219178</v>
      </c>
      <c r="V269" s="111">
        <f t="shared" si="112"/>
        <v>0.821917808219178</v>
      </c>
      <c r="W269" s="111">
        <f t="shared" si="112"/>
        <v>1.64383561643836</v>
      </c>
      <c r="X269" s="111">
        <f t="shared" si="112"/>
        <v>0.821917808219178</v>
      </c>
      <c r="Y269" s="111">
        <f t="shared" si="112"/>
        <v>1.0958904109589</v>
      </c>
      <c r="Z269" s="111">
        <f t="shared" si="112"/>
        <v>0.547945205479452</v>
      </c>
      <c r="AA269" s="111">
        <f t="shared" si="112"/>
        <v>0.821917808219178</v>
      </c>
      <c r="AB269" s="111">
        <f t="shared" si="112"/>
        <v>0.821917808219178</v>
      </c>
      <c r="AC269" s="111">
        <f t="shared" si="112"/>
        <v>0.821917808219178</v>
      </c>
      <c r="AD269" s="111">
        <f t="shared" si="112"/>
        <v>0.547945205479452</v>
      </c>
      <c r="AE269" s="111">
        <f t="shared" si="112"/>
        <v>1.0958904109589</v>
      </c>
      <c r="AF269" s="111">
        <f t="shared" si="112"/>
        <v>1.0958904109589</v>
      </c>
      <c r="AG269" s="111">
        <f t="shared" si="112"/>
        <v>0.821917808219178</v>
      </c>
      <c r="AH269" s="111">
        <f t="shared" si="112"/>
        <v>1.0958904109589</v>
      </c>
      <c r="AI269" s="111">
        <f t="shared" si="112"/>
        <v>0.821917808219178</v>
      </c>
      <c r="AJ269" s="111">
        <f t="shared" si="112"/>
        <v>0.821917808219178</v>
      </c>
      <c r="AK269" s="111">
        <f t="shared" si="112"/>
        <v>0.547945205479452</v>
      </c>
      <c r="AN269" s="133"/>
      <c r="AO269" s="133"/>
      <c r="AP269" s="133"/>
      <c r="AQ269" s="133"/>
      <c r="AR269" s="133"/>
      <c r="AS269" s="133"/>
      <c r="AT269" s="133"/>
      <c r="AU269" s="133"/>
      <c r="AV269" s="133"/>
    </row>
    <row r="270" ht="19.5" customHeight="1" spans="1:48">
      <c r="A270" s="81" t="s">
        <v>83</v>
      </c>
      <c r="B270" s="81">
        <v>0.02</v>
      </c>
      <c r="C270" s="39"/>
      <c r="D270" s="151"/>
      <c r="E270" s="114" t="s">
        <v>41</v>
      </c>
      <c r="F270" s="110">
        <f>SUM(G270:AK270)</f>
        <v>10000</v>
      </c>
      <c r="G270" s="56">
        <f t="shared" ref="G270:AK270" si="113">$B$271*G8</f>
        <v>300</v>
      </c>
      <c r="H270" s="56">
        <f t="shared" si="113"/>
        <v>300</v>
      </c>
      <c r="I270" s="56">
        <f t="shared" si="113"/>
        <v>300</v>
      </c>
      <c r="J270" s="56">
        <f t="shared" si="113"/>
        <v>300</v>
      </c>
      <c r="K270" s="56">
        <f t="shared" si="113"/>
        <v>300</v>
      </c>
      <c r="L270" s="56">
        <f t="shared" si="113"/>
        <v>200</v>
      </c>
      <c r="M270" s="56">
        <f t="shared" si="113"/>
        <v>600</v>
      </c>
      <c r="N270" s="56">
        <f t="shared" si="113"/>
        <v>300</v>
      </c>
      <c r="O270" s="56">
        <f t="shared" si="113"/>
        <v>400</v>
      </c>
      <c r="P270" s="56">
        <f t="shared" si="113"/>
        <v>300</v>
      </c>
      <c r="Q270" s="56">
        <f t="shared" si="113"/>
        <v>300</v>
      </c>
      <c r="R270" s="56">
        <f t="shared" si="113"/>
        <v>300</v>
      </c>
      <c r="S270" s="56">
        <f t="shared" si="113"/>
        <v>300</v>
      </c>
      <c r="T270" s="56">
        <f t="shared" si="113"/>
        <v>300</v>
      </c>
      <c r="U270" s="56">
        <f t="shared" si="113"/>
        <v>300</v>
      </c>
      <c r="V270" s="56">
        <f t="shared" si="113"/>
        <v>300</v>
      </c>
      <c r="W270" s="56">
        <f t="shared" si="113"/>
        <v>600</v>
      </c>
      <c r="X270" s="56">
        <f t="shared" si="113"/>
        <v>300</v>
      </c>
      <c r="Y270" s="56">
        <f t="shared" si="113"/>
        <v>400</v>
      </c>
      <c r="Z270" s="56">
        <f t="shared" si="113"/>
        <v>200</v>
      </c>
      <c r="AA270" s="56">
        <f t="shared" si="113"/>
        <v>300</v>
      </c>
      <c r="AB270" s="56">
        <f t="shared" si="113"/>
        <v>300</v>
      </c>
      <c r="AC270" s="56">
        <f t="shared" si="113"/>
        <v>300</v>
      </c>
      <c r="AD270" s="56">
        <f t="shared" si="113"/>
        <v>200</v>
      </c>
      <c r="AE270" s="56">
        <f t="shared" si="113"/>
        <v>400</v>
      </c>
      <c r="AF270" s="56">
        <f t="shared" si="113"/>
        <v>400</v>
      </c>
      <c r="AG270" s="56">
        <f t="shared" si="113"/>
        <v>300</v>
      </c>
      <c r="AH270" s="56">
        <f t="shared" si="113"/>
        <v>400</v>
      </c>
      <c r="AI270" s="56">
        <f t="shared" si="113"/>
        <v>300</v>
      </c>
      <c r="AJ270" s="56">
        <f t="shared" si="113"/>
        <v>300</v>
      </c>
      <c r="AK270" s="56">
        <f t="shared" si="113"/>
        <v>200</v>
      </c>
      <c r="AN270" s="133"/>
      <c r="AO270" s="133"/>
      <c r="AP270" s="133"/>
      <c r="AQ270" s="133"/>
      <c r="AR270" s="133"/>
      <c r="AS270" s="133"/>
      <c r="AT270" s="133"/>
      <c r="AU270" s="133"/>
      <c r="AV270" s="133"/>
    </row>
    <row r="271" ht="19.5" customHeight="1" spans="1:48">
      <c r="A271" s="78" t="s">
        <v>41</v>
      </c>
      <c r="B271" s="77">
        <f>B270*$B$40</f>
        <v>10000</v>
      </c>
      <c r="C271" s="39"/>
      <c r="D271" s="151"/>
      <c r="E271" s="115" t="s">
        <v>46</v>
      </c>
      <c r="F271" s="116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6"/>
      <c r="V271" s="116"/>
      <c r="W271" s="116"/>
      <c r="X271" s="116"/>
      <c r="Y271" s="116"/>
      <c r="Z271" s="116"/>
      <c r="AA271" s="116"/>
      <c r="AB271" s="116"/>
      <c r="AC271" s="116"/>
      <c r="AD271" s="116"/>
      <c r="AE271" s="116"/>
      <c r="AF271" s="116"/>
      <c r="AG271" s="116"/>
      <c r="AH271" s="116"/>
      <c r="AI271" s="116"/>
      <c r="AJ271" s="116"/>
      <c r="AK271" s="116"/>
      <c r="AN271" s="133"/>
      <c r="AO271" s="133"/>
      <c r="AP271" s="133"/>
      <c r="AQ271" s="133"/>
      <c r="AR271" s="133"/>
      <c r="AS271" s="133"/>
      <c r="AT271" s="133"/>
      <c r="AU271" s="133"/>
      <c r="AV271" s="133"/>
    </row>
    <row r="272" ht="19.5" customHeight="1" spans="1:48">
      <c r="A272" s="85" t="s">
        <v>84</v>
      </c>
      <c r="B272" s="81"/>
      <c r="C272" s="39"/>
      <c r="D272" s="151"/>
      <c r="E272" s="86" t="s">
        <v>45</v>
      </c>
      <c r="F272" s="116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6"/>
      <c r="V272" s="116"/>
      <c r="W272" s="116"/>
      <c r="X272" s="116"/>
      <c r="Y272" s="116"/>
      <c r="Z272" s="116"/>
      <c r="AA272" s="116"/>
      <c r="AB272" s="116"/>
      <c r="AC272" s="116"/>
      <c r="AD272" s="116"/>
      <c r="AE272" s="116"/>
      <c r="AF272" s="116"/>
      <c r="AG272" s="116"/>
      <c r="AH272" s="116"/>
      <c r="AI272" s="116"/>
      <c r="AJ272" s="116"/>
      <c r="AK272" s="116"/>
      <c r="AN272" s="133"/>
      <c r="AO272" s="133"/>
      <c r="AP272" s="133"/>
      <c r="AQ272" s="133"/>
      <c r="AR272" s="133"/>
      <c r="AS272" s="133"/>
      <c r="AT272" s="133"/>
      <c r="AU272" s="133"/>
      <c r="AV272" s="133"/>
    </row>
    <row r="273" ht="19.5" customHeight="1" spans="1:48">
      <c r="A273" s="78" t="s">
        <v>45</v>
      </c>
      <c r="B273" s="77">
        <f>B272*$B$44</f>
        <v>0</v>
      </c>
      <c r="C273" s="39"/>
      <c r="D273" s="151"/>
      <c r="E273" s="86" t="s">
        <v>44</v>
      </c>
      <c r="F273" s="116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6"/>
      <c r="V273" s="116"/>
      <c r="W273" s="116"/>
      <c r="X273" s="116"/>
      <c r="Y273" s="116"/>
      <c r="Z273" s="116"/>
      <c r="AA273" s="116"/>
      <c r="AB273" s="116"/>
      <c r="AC273" s="116"/>
      <c r="AD273" s="116"/>
      <c r="AE273" s="116"/>
      <c r="AF273" s="116"/>
      <c r="AG273" s="116"/>
      <c r="AH273" s="116"/>
      <c r="AI273" s="116"/>
      <c r="AJ273" s="116"/>
      <c r="AK273" s="116"/>
      <c r="AN273" s="133"/>
      <c r="AO273" s="133"/>
      <c r="AP273" s="133"/>
      <c r="AQ273" s="133"/>
      <c r="AR273" s="133"/>
      <c r="AS273" s="133"/>
      <c r="AT273" s="133"/>
      <c r="AU273" s="133"/>
      <c r="AV273" s="133"/>
    </row>
    <row r="274" ht="19.5" customHeight="1" spans="1:48">
      <c r="A274" s="78" t="s">
        <v>46</v>
      </c>
      <c r="B274" s="87">
        <f>B273/B271</f>
        <v>0</v>
      </c>
      <c r="C274" s="39"/>
      <c r="D274" s="151"/>
      <c r="E274" s="114" t="s">
        <v>85</v>
      </c>
      <c r="F274" s="42">
        <f>SUM(G274:AK274)</f>
        <v>0</v>
      </c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  <c r="AA274" s="117"/>
      <c r="AB274" s="117"/>
      <c r="AC274" s="117"/>
      <c r="AD274" s="117"/>
      <c r="AE274" s="117"/>
      <c r="AF274" s="117"/>
      <c r="AG274" s="117"/>
      <c r="AH274" s="117"/>
      <c r="AI274" s="117"/>
      <c r="AJ274" s="117"/>
      <c r="AK274" s="117"/>
      <c r="AN274" s="133"/>
      <c r="AO274" s="133"/>
      <c r="AP274" s="133"/>
      <c r="AQ274" s="133"/>
      <c r="AR274" s="133"/>
      <c r="AS274" s="133"/>
      <c r="AT274" s="133"/>
      <c r="AU274" s="133"/>
      <c r="AV274" s="133"/>
    </row>
    <row r="275" ht="19.5" customHeight="1" spans="1:48">
      <c r="A275" s="146"/>
      <c r="B275" s="147"/>
      <c r="C275" s="39"/>
      <c r="D275" s="151"/>
      <c r="E275" s="114" t="s">
        <v>86</v>
      </c>
      <c r="F275" s="42">
        <f>SUM(G275:AK275)</f>
        <v>0</v>
      </c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  <c r="AA275" s="117"/>
      <c r="AB275" s="117"/>
      <c r="AC275" s="117"/>
      <c r="AD275" s="117"/>
      <c r="AE275" s="117"/>
      <c r="AF275" s="117"/>
      <c r="AG275" s="117"/>
      <c r="AH275" s="117"/>
      <c r="AI275" s="117"/>
      <c r="AJ275" s="117"/>
      <c r="AK275" s="117"/>
      <c r="AN275" s="133"/>
      <c r="AO275" s="133"/>
      <c r="AP275" s="133"/>
      <c r="AQ275" s="133"/>
      <c r="AR275" s="133"/>
      <c r="AS275" s="133"/>
      <c r="AT275" s="133"/>
      <c r="AU275" s="133"/>
      <c r="AV275" s="133"/>
    </row>
    <row r="276" ht="19.5" customHeight="1" spans="1:48">
      <c r="A276" s="146"/>
      <c r="B276" s="146"/>
      <c r="C276" s="39"/>
      <c r="D276" s="151"/>
      <c r="E276" s="114" t="s">
        <v>43</v>
      </c>
      <c r="F276" s="118">
        <f t="shared" ref="F276:AK276" si="114">F275/F270</f>
        <v>0</v>
      </c>
      <c r="G276" s="119">
        <f t="shared" si="114"/>
        <v>0</v>
      </c>
      <c r="H276" s="119">
        <f t="shared" si="114"/>
        <v>0</v>
      </c>
      <c r="I276" s="119">
        <f t="shared" si="114"/>
        <v>0</v>
      </c>
      <c r="J276" s="119">
        <f t="shared" si="114"/>
        <v>0</v>
      </c>
      <c r="K276" s="119">
        <f t="shared" si="114"/>
        <v>0</v>
      </c>
      <c r="L276" s="119">
        <f t="shared" si="114"/>
        <v>0</v>
      </c>
      <c r="M276" s="119">
        <f t="shared" si="114"/>
        <v>0</v>
      </c>
      <c r="N276" s="119">
        <f t="shared" si="114"/>
        <v>0</v>
      </c>
      <c r="O276" s="119">
        <f t="shared" si="114"/>
        <v>0</v>
      </c>
      <c r="P276" s="119">
        <f t="shared" si="114"/>
        <v>0</v>
      </c>
      <c r="Q276" s="119">
        <f t="shared" si="114"/>
        <v>0</v>
      </c>
      <c r="R276" s="119">
        <f t="shared" si="114"/>
        <v>0</v>
      </c>
      <c r="S276" s="119">
        <f t="shared" si="114"/>
        <v>0</v>
      </c>
      <c r="T276" s="119">
        <f t="shared" si="114"/>
        <v>0</v>
      </c>
      <c r="U276" s="119">
        <f t="shared" si="114"/>
        <v>0</v>
      </c>
      <c r="V276" s="119">
        <f t="shared" si="114"/>
        <v>0</v>
      </c>
      <c r="W276" s="119">
        <f t="shared" si="114"/>
        <v>0</v>
      </c>
      <c r="X276" s="119">
        <f t="shared" si="114"/>
        <v>0</v>
      </c>
      <c r="Y276" s="119">
        <f t="shared" si="114"/>
        <v>0</v>
      </c>
      <c r="Z276" s="119">
        <f t="shared" si="114"/>
        <v>0</v>
      </c>
      <c r="AA276" s="119">
        <f t="shared" si="114"/>
        <v>0</v>
      </c>
      <c r="AB276" s="119">
        <f t="shared" si="114"/>
        <v>0</v>
      </c>
      <c r="AC276" s="119">
        <f t="shared" si="114"/>
        <v>0</v>
      </c>
      <c r="AD276" s="119">
        <f t="shared" si="114"/>
        <v>0</v>
      </c>
      <c r="AE276" s="119">
        <f t="shared" si="114"/>
        <v>0</v>
      </c>
      <c r="AF276" s="119">
        <f t="shared" si="114"/>
        <v>0</v>
      </c>
      <c r="AG276" s="119">
        <f t="shared" si="114"/>
        <v>0</v>
      </c>
      <c r="AH276" s="119">
        <f t="shared" si="114"/>
        <v>0</v>
      </c>
      <c r="AI276" s="119">
        <f t="shared" si="114"/>
        <v>0</v>
      </c>
      <c r="AJ276" s="119">
        <f t="shared" si="114"/>
        <v>0</v>
      </c>
      <c r="AK276" s="119">
        <f t="shared" si="114"/>
        <v>0</v>
      </c>
      <c r="AN276" s="133"/>
      <c r="AO276" s="133"/>
      <c r="AP276" s="133"/>
      <c r="AQ276" s="133"/>
      <c r="AR276" s="133"/>
      <c r="AS276" s="133"/>
      <c r="AT276" s="133"/>
      <c r="AU276" s="133"/>
      <c r="AV276" s="133"/>
    </row>
    <row r="277" ht="19.5" customHeight="1" spans="1:48">
      <c r="A277" s="146"/>
      <c r="B277" s="146"/>
      <c r="C277" s="39"/>
      <c r="D277" s="151"/>
      <c r="E277" s="114" t="s">
        <v>99</v>
      </c>
      <c r="F277" s="123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N277" s="133"/>
      <c r="AO277" s="133"/>
      <c r="AP277" s="133"/>
      <c r="AQ277" s="133"/>
      <c r="AR277" s="133"/>
      <c r="AS277" s="133"/>
      <c r="AT277" s="133"/>
      <c r="AU277" s="133"/>
      <c r="AV277" s="133"/>
    </row>
    <row r="278" ht="19.5" customHeight="1" spans="1:48">
      <c r="A278" s="77" t="s">
        <v>98</v>
      </c>
      <c r="B278" s="78">
        <v>326</v>
      </c>
      <c r="C278" s="39"/>
      <c r="D278" s="130" t="s">
        <v>100</v>
      </c>
      <c r="E278" s="115" t="s">
        <v>82</v>
      </c>
      <c r="F278" s="110">
        <f>SUM(G278:AK278)</f>
        <v>15.3374233128834</v>
      </c>
      <c r="G278" s="111">
        <f t="shared" ref="G278:AK278" si="115">G279/$B$278</f>
        <v>0.460122699386503</v>
      </c>
      <c r="H278" s="111">
        <f t="shared" si="115"/>
        <v>0.460122699386503</v>
      </c>
      <c r="I278" s="111">
        <f t="shared" si="115"/>
        <v>0.460122699386503</v>
      </c>
      <c r="J278" s="111">
        <f t="shared" si="115"/>
        <v>0.460122699386503</v>
      </c>
      <c r="K278" s="111">
        <f t="shared" si="115"/>
        <v>0.460122699386503</v>
      </c>
      <c r="L278" s="111">
        <f t="shared" si="115"/>
        <v>0.306748466257669</v>
      </c>
      <c r="M278" s="111">
        <f t="shared" si="115"/>
        <v>0.920245398773006</v>
      </c>
      <c r="N278" s="111">
        <f t="shared" si="115"/>
        <v>0.460122699386503</v>
      </c>
      <c r="O278" s="111">
        <f t="shared" si="115"/>
        <v>0.613496932515337</v>
      </c>
      <c r="P278" s="111">
        <f t="shared" si="115"/>
        <v>0.460122699386503</v>
      </c>
      <c r="Q278" s="111">
        <f t="shared" si="115"/>
        <v>0.460122699386503</v>
      </c>
      <c r="R278" s="111">
        <f t="shared" si="115"/>
        <v>0.460122699386503</v>
      </c>
      <c r="S278" s="111">
        <f t="shared" si="115"/>
        <v>0.460122699386503</v>
      </c>
      <c r="T278" s="111">
        <f t="shared" si="115"/>
        <v>0.460122699386503</v>
      </c>
      <c r="U278" s="111">
        <f t="shared" si="115"/>
        <v>0.460122699386503</v>
      </c>
      <c r="V278" s="111">
        <f t="shared" si="115"/>
        <v>0.460122699386503</v>
      </c>
      <c r="W278" s="111">
        <f t="shared" si="115"/>
        <v>0.920245398773006</v>
      </c>
      <c r="X278" s="111">
        <f t="shared" si="115"/>
        <v>0.460122699386503</v>
      </c>
      <c r="Y278" s="111">
        <f t="shared" si="115"/>
        <v>0.613496932515337</v>
      </c>
      <c r="Z278" s="111">
        <f t="shared" si="115"/>
        <v>0.306748466257669</v>
      </c>
      <c r="AA278" s="111">
        <f t="shared" si="115"/>
        <v>0.460122699386503</v>
      </c>
      <c r="AB278" s="111">
        <f t="shared" si="115"/>
        <v>0.460122699386503</v>
      </c>
      <c r="AC278" s="111">
        <f t="shared" si="115"/>
        <v>0.460122699386503</v>
      </c>
      <c r="AD278" s="111">
        <f t="shared" si="115"/>
        <v>0.306748466257669</v>
      </c>
      <c r="AE278" s="111">
        <f t="shared" si="115"/>
        <v>0.613496932515337</v>
      </c>
      <c r="AF278" s="111">
        <f t="shared" si="115"/>
        <v>0.613496932515337</v>
      </c>
      <c r="AG278" s="111">
        <f t="shared" si="115"/>
        <v>0.460122699386503</v>
      </c>
      <c r="AH278" s="111">
        <f t="shared" si="115"/>
        <v>0.613496932515337</v>
      </c>
      <c r="AI278" s="111">
        <f t="shared" si="115"/>
        <v>0.460122699386503</v>
      </c>
      <c r="AJ278" s="111">
        <f t="shared" si="115"/>
        <v>0.460122699386503</v>
      </c>
      <c r="AK278" s="111">
        <f t="shared" si="115"/>
        <v>0.306748466257669</v>
      </c>
      <c r="AN278" s="133"/>
      <c r="AO278" s="133"/>
      <c r="AP278" s="133"/>
      <c r="AQ278" s="133"/>
      <c r="AR278" s="133"/>
      <c r="AS278" s="133"/>
      <c r="AT278" s="133"/>
      <c r="AU278" s="133"/>
      <c r="AV278" s="133"/>
    </row>
    <row r="279" ht="19.5" customHeight="1" spans="1:48">
      <c r="A279" s="81" t="s">
        <v>83</v>
      </c>
      <c r="B279" s="81">
        <v>0.01</v>
      </c>
      <c r="C279" s="39"/>
      <c r="D279" s="151"/>
      <c r="E279" s="114" t="s">
        <v>41</v>
      </c>
      <c r="F279" s="110">
        <f>SUM(G279:AK279)</f>
        <v>5000</v>
      </c>
      <c r="G279" s="56">
        <f t="shared" ref="G279:AK279" si="116">$B$280*G8</f>
        <v>150</v>
      </c>
      <c r="H279" s="56">
        <f t="shared" si="116"/>
        <v>150</v>
      </c>
      <c r="I279" s="56">
        <f t="shared" si="116"/>
        <v>150</v>
      </c>
      <c r="J279" s="56">
        <f t="shared" si="116"/>
        <v>150</v>
      </c>
      <c r="K279" s="56">
        <f t="shared" si="116"/>
        <v>150</v>
      </c>
      <c r="L279" s="56">
        <f t="shared" si="116"/>
        <v>100</v>
      </c>
      <c r="M279" s="56">
        <f t="shared" si="116"/>
        <v>300</v>
      </c>
      <c r="N279" s="56">
        <f t="shared" si="116"/>
        <v>150</v>
      </c>
      <c r="O279" s="56">
        <f t="shared" si="116"/>
        <v>200</v>
      </c>
      <c r="P279" s="56">
        <f t="shared" si="116"/>
        <v>150</v>
      </c>
      <c r="Q279" s="56">
        <f t="shared" si="116"/>
        <v>150</v>
      </c>
      <c r="R279" s="56">
        <f t="shared" si="116"/>
        <v>150</v>
      </c>
      <c r="S279" s="56">
        <f t="shared" si="116"/>
        <v>150</v>
      </c>
      <c r="T279" s="56">
        <f t="shared" si="116"/>
        <v>150</v>
      </c>
      <c r="U279" s="56">
        <f t="shared" si="116"/>
        <v>150</v>
      </c>
      <c r="V279" s="56">
        <f t="shared" si="116"/>
        <v>150</v>
      </c>
      <c r="W279" s="56">
        <f t="shared" si="116"/>
        <v>300</v>
      </c>
      <c r="X279" s="56">
        <f t="shared" si="116"/>
        <v>150</v>
      </c>
      <c r="Y279" s="56">
        <f t="shared" si="116"/>
        <v>200</v>
      </c>
      <c r="Z279" s="56">
        <f t="shared" si="116"/>
        <v>100</v>
      </c>
      <c r="AA279" s="56">
        <f t="shared" si="116"/>
        <v>150</v>
      </c>
      <c r="AB279" s="56">
        <f t="shared" si="116"/>
        <v>150</v>
      </c>
      <c r="AC279" s="56">
        <f t="shared" si="116"/>
        <v>150</v>
      </c>
      <c r="AD279" s="56">
        <f t="shared" si="116"/>
        <v>100</v>
      </c>
      <c r="AE279" s="56">
        <f t="shared" si="116"/>
        <v>200</v>
      </c>
      <c r="AF279" s="56">
        <f t="shared" si="116"/>
        <v>200</v>
      </c>
      <c r="AG279" s="56">
        <f t="shared" si="116"/>
        <v>150</v>
      </c>
      <c r="AH279" s="56">
        <f t="shared" si="116"/>
        <v>200</v>
      </c>
      <c r="AI279" s="56">
        <f t="shared" si="116"/>
        <v>150</v>
      </c>
      <c r="AJ279" s="56">
        <f t="shared" si="116"/>
        <v>150</v>
      </c>
      <c r="AK279" s="56">
        <f t="shared" si="116"/>
        <v>100</v>
      </c>
      <c r="AN279" s="133"/>
      <c r="AO279" s="133"/>
      <c r="AP279" s="133"/>
      <c r="AQ279" s="133"/>
      <c r="AR279" s="133"/>
      <c r="AS279" s="133"/>
      <c r="AT279" s="133"/>
      <c r="AU279" s="133"/>
      <c r="AV279" s="133"/>
    </row>
    <row r="280" ht="19.5" customHeight="1" spans="1:48">
      <c r="A280" s="78" t="s">
        <v>41</v>
      </c>
      <c r="B280" s="77">
        <f>B279*$B$40</f>
        <v>5000</v>
      </c>
      <c r="C280" s="39"/>
      <c r="D280" s="151"/>
      <c r="E280" s="115" t="s">
        <v>46</v>
      </c>
      <c r="F280" s="116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6"/>
      <c r="V280" s="116"/>
      <c r="W280" s="116"/>
      <c r="X280" s="116"/>
      <c r="Y280" s="116"/>
      <c r="Z280" s="116"/>
      <c r="AA280" s="116"/>
      <c r="AB280" s="116"/>
      <c r="AC280" s="116"/>
      <c r="AD280" s="116"/>
      <c r="AE280" s="116"/>
      <c r="AF280" s="116"/>
      <c r="AG280" s="116"/>
      <c r="AH280" s="116"/>
      <c r="AI280" s="116"/>
      <c r="AJ280" s="116"/>
      <c r="AK280" s="116"/>
      <c r="AN280" s="133"/>
      <c r="AO280" s="133"/>
      <c r="AP280" s="133"/>
      <c r="AQ280" s="133"/>
      <c r="AR280" s="133"/>
      <c r="AS280" s="133"/>
      <c r="AT280" s="133"/>
      <c r="AU280" s="133"/>
      <c r="AV280" s="133"/>
    </row>
    <row r="281" ht="19.5" customHeight="1" spans="1:48">
      <c r="A281" s="85" t="s">
        <v>84</v>
      </c>
      <c r="B281" s="81"/>
      <c r="C281" s="39"/>
      <c r="D281" s="151"/>
      <c r="E281" s="86" t="s">
        <v>45</v>
      </c>
      <c r="F281" s="116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6"/>
      <c r="V281" s="116"/>
      <c r="W281" s="116"/>
      <c r="X281" s="116"/>
      <c r="Y281" s="116"/>
      <c r="Z281" s="116"/>
      <c r="AA281" s="116"/>
      <c r="AB281" s="116"/>
      <c r="AC281" s="116"/>
      <c r="AD281" s="116"/>
      <c r="AE281" s="116"/>
      <c r="AF281" s="116"/>
      <c r="AG281" s="116"/>
      <c r="AH281" s="116"/>
      <c r="AI281" s="116"/>
      <c r="AJ281" s="116"/>
      <c r="AK281" s="116"/>
      <c r="AN281" s="133"/>
      <c r="AO281" s="133"/>
      <c r="AP281" s="133"/>
      <c r="AQ281" s="133"/>
      <c r="AR281" s="133"/>
      <c r="AS281" s="133"/>
      <c r="AT281" s="133"/>
      <c r="AU281" s="133"/>
      <c r="AV281" s="133"/>
    </row>
    <row r="282" ht="19.5" customHeight="1" spans="1:48">
      <c r="A282" s="78" t="s">
        <v>45</v>
      </c>
      <c r="B282" s="77">
        <f>B281*$B$44</f>
        <v>0</v>
      </c>
      <c r="C282" s="39"/>
      <c r="D282" s="151"/>
      <c r="E282" s="86" t="s">
        <v>44</v>
      </c>
      <c r="F282" s="116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6"/>
      <c r="V282" s="116"/>
      <c r="W282" s="116"/>
      <c r="X282" s="116"/>
      <c r="Y282" s="116"/>
      <c r="Z282" s="116"/>
      <c r="AA282" s="116"/>
      <c r="AB282" s="116"/>
      <c r="AC282" s="116"/>
      <c r="AD282" s="116"/>
      <c r="AE282" s="116"/>
      <c r="AF282" s="116"/>
      <c r="AG282" s="116"/>
      <c r="AH282" s="116"/>
      <c r="AI282" s="116"/>
      <c r="AJ282" s="116"/>
      <c r="AK282" s="116"/>
      <c r="AN282" s="133"/>
      <c r="AO282" s="133"/>
      <c r="AP282" s="133"/>
      <c r="AQ282" s="133"/>
      <c r="AR282" s="133"/>
      <c r="AS282" s="133"/>
      <c r="AT282" s="133"/>
      <c r="AU282" s="133"/>
      <c r="AV282" s="133"/>
    </row>
    <row r="283" ht="19.5" customHeight="1" spans="1:48">
      <c r="A283" s="78" t="s">
        <v>46</v>
      </c>
      <c r="B283" s="87">
        <f>B282/B280</f>
        <v>0</v>
      </c>
      <c r="C283" s="39"/>
      <c r="D283" s="151"/>
      <c r="E283" s="114" t="s">
        <v>85</v>
      </c>
      <c r="F283" s="42">
        <f>SUM(G283:AK283)</f>
        <v>0</v>
      </c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  <c r="AA283" s="117"/>
      <c r="AB283" s="117"/>
      <c r="AC283" s="117"/>
      <c r="AD283" s="117"/>
      <c r="AE283" s="117"/>
      <c r="AF283" s="117"/>
      <c r="AG283" s="117"/>
      <c r="AH283" s="117"/>
      <c r="AI283" s="117"/>
      <c r="AJ283" s="117"/>
      <c r="AK283" s="117"/>
      <c r="AN283" s="133"/>
      <c r="AO283" s="133"/>
      <c r="AP283" s="133"/>
      <c r="AQ283" s="133"/>
      <c r="AR283" s="133"/>
      <c r="AS283" s="133"/>
      <c r="AT283" s="133"/>
      <c r="AU283" s="133"/>
      <c r="AV283" s="133"/>
    </row>
    <row r="284" ht="19.5" customHeight="1" spans="1:48">
      <c r="A284" s="146"/>
      <c r="B284" s="147"/>
      <c r="C284" s="39"/>
      <c r="D284" s="151"/>
      <c r="E284" s="114" t="s">
        <v>86</v>
      </c>
      <c r="F284" s="42">
        <f>SUM(G284:AK284)</f>
        <v>0</v>
      </c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  <c r="AA284" s="117"/>
      <c r="AB284" s="117"/>
      <c r="AC284" s="117"/>
      <c r="AD284" s="117"/>
      <c r="AE284" s="117"/>
      <c r="AF284" s="117"/>
      <c r="AG284" s="117"/>
      <c r="AH284" s="117"/>
      <c r="AI284" s="117"/>
      <c r="AJ284" s="117"/>
      <c r="AK284" s="117"/>
      <c r="AN284" s="133"/>
      <c r="AO284" s="133"/>
      <c r="AP284" s="133"/>
      <c r="AQ284" s="133"/>
      <c r="AR284" s="133"/>
      <c r="AS284" s="133"/>
      <c r="AT284" s="133"/>
      <c r="AU284" s="133"/>
      <c r="AV284" s="133"/>
    </row>
    <row r="285" ht="19.5" customHeight="1" spans="1:48">
      <c r="A285" s="146"/>
      <c r="B285" s="146"/>
      <c r="C285" s="39"/>
      <c r="D285" s="151"/>
      <c r="E285" s="114" t="s">
        <v>43</v>
      </c>
      <c r="F285" s="118">
        <f t="shared" ref="F285:AK285" si="117">F284/F279</f>
        <v>0</v>
      </c>
      <c r="G285" s="119">
        <f t="shared" si="117"/>
        <v>0</v>
      </c>
      <c r="H285" s="119">
        <f t="shared" si="117"/>
        <v>0</v>
      </c>
      <c r="I285" s="119">
        <f t="shared" si="117"/>
        <v>0</v>
      </c>
      <c r="J285" s="119">
        <f t="shared" si="117"/>
        <v>0</v>
      </c>
      <c r="K285" s="119">
        <f t="shared" si="117"/>
        <v>0</v>
      </c>
      <c r="L285" s="119">
        <f t="shared" si="117"/>
        <v>0</v>
      </c>
      <c r="M285" s="119">
        <f t="shared" si="117"/>
        <v>0</v>
      </c>
      <c r="N285" s="119">
        <f t="shared" si="117"/>
        <v>0</v>
      </c>
      <c r="O285" s="119">
        <f t="shared" si="117"/>
        <v>0</v>
      </c>
      <c r="P285" s="119">
        <f t="shared" si="117"/>
        <v>0</v>
      </c>
      <c r="Q285" s="119">
        <f t="shared" si="117"/>
        <v>0</v>
      </c>
      <c r="R285" s="119">
        <f t="shared" si="117"/>
        <v>0</v>
      </c>
      <c r="S285" s="119">
        <f t="shared" si="117"/>
        <v>0</v>
      </c>
      <c r="T285" s="119">
        <f t="shared" si="117"/>
        <v>0</v>
      </c>
      <c r="U285" s="119">
        <f t="shared" si="117"/>
        <v>0</v>
      </c>
      <c r="V285" s="119">
        <f t="shared" si="117"/>
        <v>0</v>
      </c>
      <c r="W285" s="119">
        <f t="shared" si="117"/>
        <v>0</v>
      </c>
      <c r="X285" s="119">
        <f t="shared" si="117"/>
        <v>0</v>
      </c>
      <c r="Y285" s="119">
        <f t="shared" si="117"/>
        <v>0</v>
      </c>
      <c r="Z285" s="119">
        <f t="shared" si="117"/>
        <v>0</v>
      </c>
      <c r="AA285" s="119">
        <f t="shared" si="117"/>
        <v>0</v>
      </c>
      <c r="AB285" s="119">
        <f t="shared" si="117"/>
        <v>0</v>
      </c>
      <c r="AC285" s="119">
        <f t="shared" si="117"/>
        <v>0</v>
      </c>
      <c r="AD285" s="119">
        <f t="shared" si="117"/>
        <v>0</v>
      </c>
      <c r="AE285" s="119">
        <f t="shared" si="117"/>
        <v>0</v>
      </c>
      <c r="AF285" s="119">
        <f t="shared" si="117"/>
        <v>0</v>
      </c>
      <c r="AG285" s="119">
        <f t="shared" si="117"/>
        <v>0</v>
      </c>
      <c r="AH285" s="119">
        <f t="shared" si="117"/>
        <v>0</v>
      </c>
      <c r="AI285" s="119">
        <f t="shared" si="117"/>
        <v>0</v>
      </c>
      <c r="AJ285" s="119">
        <f t="shared" si="117"/>
        <v>0</v>
      </c>
      <c r="AK285" s="119">
        <f t="shared" si="117"/>
        <v>0</v>
      </c>
      <c r="AN285" s="133"/>
      <c r="AO285" s="133"/>
      <c r="AP285" s="133"/>
      <c r="AQ285" s="133"/>
      <c r="AR285" s="133"/>
      <c r="AS285" s="133"/>
      <c r="AT285" s="133"/>
      <c r="AU285" s="133"/>
      <c r="AV285" s="133"/>
    </row>
    <row r="286" ht="19.5" customHeight="1" spans="1:48">
      <c r="A286" s="146"/>
      <c r="B286" s="146"/>
      <c r="C286" s="39"/>
      <c r="D286" s="151"/>
      <c r="E286" s="114" t="s">
        <v>47</v>
      </c>
      <c r="F286" s="123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N286" s="133"/>
      <c r="AO286" s="133"/>
      <c r="AP286" s="133"/>
      <c r="AQ286" s="133"/>
      <c r="AR286" s="133"/>
      <c r="AS286" s="133"/>
      <c r="AT286" s="133"/>
      <c r="AU286" s="133"/>
      <c r="AV286" s="133"/>
    </row>
    <row r="287" ht="19.5" hidden="1" customHeight="1" spans="1:48">
      <c r="A287" s="77" t="s">
        <v>98</v>
      </c>
      <c r="B287" s="78">
        <v>218</v>
      </c>
      <c r="C287" s="39"/>
      <c r="D287" s="130" t="s">
        <v>93</v>
      </c>
      <c r="E287" s="115" t="s">
        <v>82</v>
      </c>
      <c r="F287" s="110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  <c r="AC287" s="111"/>
      <c r="AD287" s="111"/>
      <c r="AE287" s="111"/>
      <c r="AF287" s="111"/>
      <c r="AG287" s="111"/>
      <c r="AH287" s="111"/>
      <c r="AI287" s="111"/>
      <c r="AJ287" s="111"/>
      <c r="AK287" s="111"/>
      <c r="AN287" s="133"/>
      <c r="AO287" s="133"/>
      <c r="AP287" s="133"/>
      <c r="AQ287" s="133"/>
      <c r="AR287" s="133"/>
      <c r="AS287" s="133"/>
      <c r="AT287" s="133"/>
      <c r="AU287" s="133"/>
      <c r="AV287" s="133"/>
    </row>
    <row r="288" ht="19.5" hidden="1" customHeight="1" spans="1:48">
      <c r="A288" s="81" t="s">
        <v>83</v>
      </c>
      <c r="B288" s="81"/>
      <c r="C288" s="39"/>
      <c r="D288" s="151"/>
      <c r="E288" s="114" t="s">
        <v>41</v>
      </c>
      <c r="F288" s="110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N288" s="133"/>
      <c r="AO288" s="133"/>
      <c r="AP288" s="133"/>
      <c r="AQ288" s="133"/>
      <c r="AR288" s="133"/>
      <c r="AS288" s="133"/>
      <c r="AT288" s="133"/>
      <c r="AU288" s="133"/>
      <c r="AV288" s="133"/>
    </row>
    <row r="289" ht="19.5" hidden="1" customHeight="1" spans="1:48">
      <c r="A289" s="78" t="s">
        <v>41</v>
      </c>
      <c r="B289" s="77">
        <f>B288*$B$40</f>
        <v>0</v>
      </c>
      <c r="C289" s="39"/>
      <c r="D289" s="151"/>
      <c r="E289" s="115" t="s">
        <v>46</v>
      </c>
      <c r="F289" s="120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6"/>
      <c r="V289" s="116"/>
      <c r="W289" s="116"/>
      <c r="X289" s="116"/>
      <c r="Y289" s="116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N289" s="133"/>
      <c r="AO289" s="133"/>
      <c r="AP289" s="133"/>
      <c r="AQ289" s="133"/>
      <c r="AR289" s="133"/>
      <c r="AS289" s="133"/>
      <c r="AT289" s="133"/>
      <c r="AU289" s="133"/>
      <c r="AV289" s="133"/>
    </row>
    <row r="290" ht="19.5" hidden="1" customHeight="1" spans="1:48">
      <c r="A290" s="85" t="s">
        <v>84</v>
      </c>
      <c r="B290" s="81"/>
      <c r="C290" s="39"/>
      <c r="D290" s="151"/>
      <c r="E290" s="86" t="s">
        <v>45</v>
      </c>
      <c r="F290" s="120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6"/>
      <c r="V290" s="116"/>
      <c r="W290" s="116"/>
      <c r="X290" s="116"/>
      <c r="Y290" s="116"/>
      <c r="Z290" s="116"/>
      <c r="AA290" s="116"/>
      <c r="AB290" s="116"/>
      <c r="AC290" s="116"/>
      <c r="AD290" s="116"/>
      <c r="AE290" s="116"/>
      <c r="AF290" s="116"/>
      <c r="AG290" s="116"/>
      <c r="AH290" s="116"/>
      <c r="AI290" s="116"/>
      <c r="AJ290" s="116"/>
      <c r="AK290" s="116"/>
      <c r="AN290" s="133"/>
      <c r="AO290" s="133"/>
      <c r="AP290" s="133"/>
      <c r="AQ290" s="133"/>
      <c r="AR290" s="133"/>
      <c r="AS290" s="133"/>
      <c r="AT290" s="133"/>
      <c r="AU290" s="133"/>
      <c r="AV290" s="133"/>
    </row>
    <row r="291" ht="19.5" hidden="1" customHeight="1" spans="1:48">
      <c r="A291" s="78" t="s">
        <v>45</v>
      </c>
      <c r="B291" s="78">
        <f>B290*$B$16</f>
        <v>0</v>
      </c>
      <c r="C291" s="39"/>
      <c r="D291" s="151"/>
      <c r="E291" s="86" t="s">
        <v>49</v>
      </c>
      <c r="F291" s="120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  <c r="X291" s="116"/>
      <c r="Y291" s="116"/>
      <c r="Z291" s="116"/>
      <c r="AA291" s="116"/>
      <c r="AB291" s="116"/>
      <c r="AC291" s="116"/>
      <c r="AD291" s="116"/>
      <c r="AE291" s="116"/>
      <c r="AF291" s="116"/>
      <c r="AG291" s="116"/>
      <c r="AH291" s="116"/>
      <c r="AI291" s="116"/>
      <c r="AJ291" s="116"/>
      <c r="AK291" s="116"/>
      <c r="AN291" s="133"/>
      <c r="AO291" s="133"/>
      <c r="AP291" s="133"/>
      <c r="AQ291" s="133"/>
      <c r="AR291" s="133"/>
      <c r="AS291" s="133"/>
      <c r="AT291" s="133"/>
      <c r="AU291" s="133"/>
      <c r="AV291" s="133"/>
    </row>
    <row r="292" ht="19.5" hidden="1" customHeight="1" spans="1:48">
      <c r="A292" s="78" t="s">
        <v>46</v>
      </c>
      <c r="B292" s="87" t="e">
        <f>B291/B289</f>
        <v>#DIV/0!</v>
      </c>
      <c r="C292" s="39"/>
      <c r="D292" s="151"/>
      <c r="E292" s="114" t="s">
        <v>85</v>
      </c>
      <c r="F292" s="42" t="e">
        <f>SUM(G292:AK292)</f>
        <v>#REF!</v>
      </c>
      <c r="G292" s="117" t="e">
        <f>SUMIFS(#REF!,#REF!,$C$215&amp;G$62)</f>
        <v>#REF!</v>
      </c>
      <c r="H292" s="117" t="e">
        <f>SUMIFS(#REF!,#REF!,$C$215&amp;H$62)</f>
        <v>#REF!</v>
      </c>
      <c r="I292" s="117" t="e">
        <f>SUMIFS(#REF!,#REF!,$C$215&amp;I$62)</f>
        <v>#REF!</v>
      </c>
      <c r="J292" s="117" t="e">
        <f>SUMIFS(#REF!,#REF!,$C$215&amp;J$62)</f>
        <v>#REF!</v>
      </c>
      <c r="K292" s="117" t="e">
        <f>SUMIFS(#REF!,#REF!,$C$215&amp;K$62)</f>
        <v>#REF!</v>
      </c>
      <c r="L292" s="117" t="e">
        <f>SUMIFS(#REF!,#REF!,$C$215&amp;L$62)</f>
        <v>#REF!</v>
      </c>
      <c r="M292" s="117" t="e">
        <f>SUMIFS(#REF!,#REF!,$C$215&amp;M$62)</f>
        <v>#REF!</v>
      </c>
      <c r="N292" s="117" t="e">
        <f>SUMIFS(#REF!,#REF!,$C$215&amp;N$62)</f>
        <v>#REF!</v>
      </c>
      <c r="O292" s="117" t="e">
        <f>SUMIFS(#REF!,#REF!,$C$215&amp;O$62)</f>
        <v>#REF!</v>
      </c>
      <c r="P292" s="117" t="e">
        <f>SUMIFS(#REF!,#REF!,$C$215&amp;P$62)</f>
        <v>#REF!</v>
      </c>
      <c r="Q292" s="117" t="e">
        <f>SUMIFS(#REF!,#REF!,$C$215&amp;Q$62)</f>
        <v>#REF!</v>
      </c>
      <c r="R292" s="117" t="e">
        <f>SUMIFS(#REF!,#REF!,$C$215&amp;R$62)</f>
        <v>#REF!</v>
      </c>
      <c r="S292" s="117" t="e">
        <f>SUMIFS(#REF!,#REF!,$C$215&amp;S$62)</f>
        <v>#REF!</v>
      </c>
      <c r="T292" s="117" t="e">
        <f>SUMIFS(#REF!,#REF!,$C$215&amp;T$62)</f>
        <v>#REF!</v>
      </c>
      <c r="U292" s="117" t="e">
        <f>SUMIFS(#REF!,#REF!,$C$215&amp;U$62)</f>
        <v>#REF!</v>
      </c>
      <c r="V292" s="117" t="e">
        <f>SUMIFS(#REF!,#REF!,$C$215&amp;V$62)</f>
        <v>#REF!</v>
      </c>
      <c r="W292" s="117" t="e">
        <f>SUMIFS(#REF!,#REF!,$C$215&amp;W$62)</f>
        <v>#REF!</v>
      </c>
      <c r="X292" s="117" t="e">
        <f>SUMIFS(#REF!,#REF!,$C$215&amp;X$62)</f>
        <v>#REF!</v>
      </c>
      <c r="Y292" s="117" t="e">
        <f>SUMIFS(#REF!,#REF!,$C$215&amp;Y$62)</f>
        <v>#REF!</v>
      </c>
      <c r="Z292" s="117" t="e">
        <f>SUMIFS(#REF!,#REF!,$C$215&amp;Z$62)</f>
        <v>#REF!</v>
      </c>
      <c r="AA292" s="117" t="e">
        <f>SUMIFS(#REF!,#REF!,$C$215&amp;AA$62)</f>
        <v>#REF!</v>
      </c>
      <c r="AB292" s="117" t="e">
        <f>SUMIFS(#REF!,#REF!,$C$215&amp;AB$62)</f>
        <v>#REF!</v>
      </c>
      <c r="AC292" s="117" t="e">
        <f>SUMIFS(#REF!,#REF!,$C$215&amp;AC$62)</f>
        <v>#REF!</v>
      </c>
      <c r="AD292" s="117" t="e">
        <f>SUMIFS(#REF!,#REF!,$C$215&amp;AD$62)</f>
        <v>#REF!</v>
      </c>
      <c r="AE292" s="117" t="e">
        <f>SUMIFS(#REF!,#REF!,$C$215&amp;AE$62)</f>
        <v>#REF!</v>
      </c>
      <c r="AF292" s="117" t="e">
        <f>SUMIFS(#REF!,#REF!,$C$215&amp;AF$62)</f>
        <v>#REF!</v>
      </c>
      <c r="AG292" s="117" t="e">
        <f>SUMIFS(#REF!,#REF!,$C$215&amp;AG$62)</f>
        <v>#REF!</v>
      </c>
      <c r="AH292" s="117" t="e">
        <f>SUMIFS(#REF!,#REF!,$C$215&amp;AH$62)</f>
        <v>#REF!</v>
      </c>
      <c r="AI292" s="117" t="e">
        <f>SUMIFS(#REF!,#REF!,$C$215&amp;AI$62)</f>
        <v>#REF!</v>
      </c>
      <c r="AJ292" s="117" t="e">
        <f>SUMIFS(#REF!,#REF!,$C$215&amp;AJ$62)</f>
        <v>#REF!</v>
      </c>
      <c r="AK292" s="117" t="e">
        <f>SUMIFS(#REF!,#REF!,$C$215&amp;AK$62)</f>
        <v>#REF!</v>
      </c>
      <c r="AN292" s="133"/>
      <c r="AO292" s="133"/>
      <c r="AP292" s="133"/>
      <c r="AQ292" s="133"/>
      <c r="AR292" s="133"/>
      <c r="AS292" s="133"/>
      <c r="AT292" s="133"/>
      <c r="AU292" s="133"/>
      <c r="AV292" s="133"/>
    </row>
    <row r="293" ht="19.5" hidden="1" customHeight="1" spans="1:48">
      <c r="A293" s="146"/>
      <c r="B293" s="147"/>
      <c r="C293" s="39"/>
      <c r="D293" s="151"/>
      <c r="E293" s="114" t="s">
        <v>86</v>
      </c>
      <c r="F293" s="42" t="e">
        <f>SUM(G293:AK293)</f>
        <v>#REF!</v>
      </c>
      <c r="G293" s="117" t="e">
        <f>SUMIFS(#REF!,#REF!,$C$215&amp;G$62)</f>
        <v>#REF!</v>
      </c>
      <c r="H293" s="117" t="e">
        <f>SUMIFS(#REF!,#REF!,$C$215&amp;H$62)</f>
        <v>#REF!</v>
      </c>
      <c r="I293" s="117" t="e">
        <f>SUMIFS(#REF!,#REF!,$C$215&amp;I$62)</f>
        <v>#REF!</v>
      </c>
      <c r="J293" s="117" t="e">
        <f>SUMIFS(#REF!,#REF!,$C$215&amp;J$62)</f>
        <v>#REF!</v>
      </c>
      <c r="K293" s="117" t="e">
        <f>SUMIFS(#REF!,#REF!,$C$215&amp;K$62)</f>
        <v>#REF!</v>
      </c>
      <c r="L293" s="117" t="e">
        <f>SUMIFS(#REF!,#REF!,$C$215&amp;L$62)</f>
        <v>#REF!</v>
      </c>
      <c r="M293" s="117" t="e">
        <f>SUMIFS(#REF!,#REF!,$C$215&amp;M$62)</f>
        <v>#REF!</v>
      </c>
      <c r="N293" s="117" t="e">
        <f>SUMIFS(#REF!,#REF!,$C$215&amp;N$62)</f>
        <v>#REF!</v>
      </c>
      <c r="O293" s="117" t="e">
        <f>SUMIFS(#REF!,#REF!,$C$215&amp;O$62)</f>
        <v>#REF!</v>
      </c>
      <c r="P293" s="117" t="e">
        <f>SUMIFS(#REF!,#REF!,$C$215&amp;P$62)</f>
        <v>#REF!</v>
      </c>
      <c r="Q293" s="117" t="e">
        <f>SUMIFS(#REF!,#REF!,$C$215&amp;Q$62)</f>
        <v>#REF!</v>
      </c>
      <c r="R293" s="117" t="e">
        <f>SUMIFS(#REF!,#REF!,$C$215&amp;R$62)</f>
        <v>#REF!</v>
      </c>
      <c r="S293" s="117" t="e">
        <f>SUMIFS(#REF!,#REF!,$C$215&amp;S$62)</f>
        <v>#REF!</v>
      </c>
      <c r="T293" s="117" t="e">
        <f>SUMIFS(#REF!,#REF!,$C$215&amp;T$62)</f>
        <v>#REF!</v>
      </c>
      <c r="U293" s="117" t="e">
        <f>SUMIFS(#REF!,#REF!,$C$215&amp;U$62)</f>
        <v>#REF!</v>
      </c>
      <c r="V293" s="117" t="e">
        <f>SUMIFS(#REF!,#REF!,$C$215&amp;V$62)</f>
        <v>#REF!</v>
      </c>
      <c r="W293" s="117" t="e">
        <f>SUMIFS(#REF!,#REF!,$C$215&amp;W$62)</f>
        <v>#REF!</v>
      </c>
      <c r="X293" s="117" t="e">
        <f>SUMIFS(#REF!,#REF!,$C$215&amp;X$62)</f>
        <v>#REF!</v>
      </c>
      <c r="Y293" s="117" t="e">
        <f>SUMIFS(#REF!,#REF!,$C$215&amp;Y$62)</f>
        <v>#REF!</v>
      </c>
      <c r="Z293" s="117" t="e">
        <f>SUMIFS(#REF!,#REF!,$C$215&amp;Z$62)</f>
        <v>#REF!</v>
      </c>
      <c r="AA293" s="117" t="e">
        <f>SUMIFS(#REF!,#REF!,$C$215&amp;AA$62)</f>
        <v>#REF!</v>
      </c>
      <c r="AB293" s="117" t="e">
        <f>SUMIFS(#REF!,#REF!,$C$215&amp;AB$62)</f>
        <v>#REF!</v>
      </c>
      <c r="AC293" s="117" t="e">
        <f>SUMIFS(#REF!,#REF!,$C$215&amp;AC$62)</f>
        <v>#REF!</v>
      </c>
      <c r="AD293" s="117" t="e">
        <f>SUMIFS(#REF!,#REF!,$C$215&amp;AD$62)</f>
        <v>#REF!</v>
      </c>
      <c r="AE293" s="117" t="e">
        <f>SUMIFS(#REF!,#REF!,$C$215&amp;AE$62)</f>
        <v>#REF!</v>
      </c>
      <c r="AF293" s="117" t="e">
        <f>SUMIFS(#REF!,#REF!,$C$215&amp;AF$62)</f>
        <v>#REF!</v>
      </c>
      <c r="AG293" s="117" t="e">
        <f>SUMIFS(#REF!,#REF!,$C$215&amp;AG$62)</f>
        <v>#REF!</v>
      </c>
      <c r="AH293" s="117" t="e">
        <f>SUMIFS(#REF!,#REF!,$C$215&amp;AH$62)</f>
        <v>#REF!</v>
      </c>
      <c r="AI293" s="117" t="e">
        <f>SUMIFS(#REF!,#REF!,$C$215&amp;AI$62)</f>
        <v>#REF!</v>
      </c>
      <c r="AJ293" s="117" t="e">
        <f>SUMIFS(#REF!,#REF!,$C$215&amp;AJ$62)</f>
        <v>#REF!</v>
      </c>
      <c r="AK293" s="117" t="e">
        <f>SUMIFS(#REF!,#REF!,$C$215&amp;AK$62)</f>
        <v>#REF!</v>
      </c>
      <c r="AN293" s="133"/>
      <c r="AO293" s="133"/>
      <c r="AP293" s="133"/>
      <c r="AQ293" s="133"/>
      <c r="AR293" s="133"/>
      <c r="AS293" s="133"/>
      <c r="AT293" s="133"/>
      <c r="AU293" s="133"/>
      <c r="AV293" s="133"/>
    </row>
    <row r="294" ht="19.5" hidden="1" customHeight="1" spans="1:48">
      <c r="A294" s="146"/>
      <c r="B294" s="146"/>
      <c r="C294" s="39"/>
      <c r="D294" s="151"/>
      <c r="E294" s="114" t="s">
        <v>43</v>
      </c>
      <c r="F294" s="119">
        <f t="shared" ref="F294:AK294" si="118">IFERROR(F293/F288,0)</f>
        <v>0</v>
      </c>
      <c r="G294" s="119">
        <f t="shared" si="118"/>
        <v>0</v>
      </c>
      <c r="H294" s="119">
        <f t="shared" si="118"/>
        <v>0</v>
      </c>
      <c r="I294" s="119">
        <f t="shared" si="118"/>
        <v>0</v>
      </c>
      <c r="J294" s="119">
        <f t="shared" si="118"/>
        <v>0</v>
      </c>
      <c r="K294" s="119">
        <f t="shared" si="118"/>
        <v>0</v>
      </c>
      <c r="L294" s="119">
        <f t="shared" si="118"/>
        <v>0</v>
      </c>
      <c r="M294" s="119">
        <f t="shared" si="118"/>
        <v>0</v>
      </c>
      <c r="N294" s="119">
        <f t="shared" si="118"/>
        <v>0</v>
      </c>
      <c r="O294" s="119">
        <f t="shared" si="118"/>
        <v>0</v>
      </c>
      <c r="P294" s="119">
        <f t="shared" si="118"/>
        <v>0</v>
      </c>
      <c r="Q294" s="119">
        <f t="shared" si="118"/>
        <v>0</v>
      </c>
      <c r="R294" s="119">
        <f t="shared" si="118"/>
        <v>0</v>
      </c>
      <c r="S294" s="119">
        <f t="shared" si="118"/>
        <v>0</v>
      </c>
      <c r="T294" s="119">
        <f t="shared" si="118"/>
        <v>0</v>
      </c>
      <c r="U294" s="119">
        <f t="shared" si="118"/>
        <v>0</v>
      </c>
      <c r="V294" s="119">
        <f t="shared" si="118"/>
        <v>0</v>
      </c>
      <c r="W294" s="119">
        <f t="shared" si="118"/>
        <v>0</v>
      </c>
      <c r="X294" s="119">
        <f t="shared" si="118"/>
        <v>0</v>
      </c>
      <c r="Y294" s="119">
        <f t="shared" si="118"/>
        <v>0</v>
      </c>
      <c r="Z294" s="119">
        <f t="shared" si="118"/>
        <v>0</v>
      </c>
      <c r="AA294" s="119">
        <f t="shared" si="118"/>
        <v>0</v>
      </c>
      <c r="AB294" s="119">
        <f t="shared" si="118"/>
        <v>0</v>
      </c>
      <c r="AC294" s="119">
        <f t="shared" si="118"/>
        <v>0</v>
      </c>
      <c r="AD294" s="119">
        <f t="shared" si="118"/>
        <v>0</v>
      </c>
      <c r="AE294" s="119">
        <f t="shared" si="118"/>
        <v>0</v>
      </c>
      <c r="AF294" s="119">
        <f t="shared" si="118"/>
        <v>0</v>
      </c>
      <c r="AG294" s="119">
        <f t="shared" si="118"/>
        <v>0</v>
      </c>
      <c r="AH294" s="119">
        <f t="shared" si="118"/>
        <v>0</v>
      </c>
      <c r="AI294" s="119">
        <f t="shared" si="118"/>
        <v>0</v>
      </c>
      <c r="AJ294" s="119">
        <f t="shared" si="118"/>
        <v>0</v>
      </c>
      <c r="AK294" s="119">
        <f t="shared" si="118"/>
        <v>0</v>
      </c>
      <c r="AN294" s="133"/>
      <c r="AO294" s="133"/>
      <c r="AP294" s="133"/>
      <c r="AQ294" s="133"/>
      <c r="AR294" s="133"/>
      <c r="AS294" s="133"/>
      <c r="AT294" s="133"/>
      <c r="AU294" s="133"/>
      <c r="AV294" s="14">
        <v>5</v>
      </c>
    </row>
    <row r="295" ht="19.5" hidden="1" customHeight="1" spans="1:48">
      <c r="A295" s="146"/>
      <c r="B295" s="146"/>
      <c r="C295" s="39"/>
      <c r="D295" s="151"/>
      <c r="E295" s="114" t="s">
        <v>47</v>
      </c>
      <c r="F295" s="123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N295" s="133"/>
      <c r="AO295" s="133"/>
      <c r="AP295" s="133"/>
      <c r="AQ295" s="133"/>
      <c r="AR295" s="133"/>
      <c r="AS295" s="133"/>
      <c r="AT295" s="133"/>
      <c r="AU295" s="133"/>
      <c r="AV295" s="133"/>
    </row>
    <row r="296" ht="19.5" hidden="1" customHeight="1" spans="1:48">
      <c r="A296" s="77" t="s">
        <v>98</v>
      </c>
      <c r="B296" s="78"/>
      <c r="C296" s="39"/>
      <c r="D296" s="130" t="s">
        <v>96</v>
      </c>
      <c r="E296" s="115" t="s">
        <v>82</v>
      </c>
      <c r="F296" s="110">
        <f>SUM(G296:AK296)</f>
        <v>0</v>
      </c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  <c r="AC296" s="111"/>
      <c r="AD296" s="111"/>
      <c r="AE296" s="111"/>
      <c r="AF296" s="111"/>
      <c r="AG296" s="111"/>
      <c r="AH296" s="111"/>
      <c r="AI296" s="111"/>
      <c r="AJ296" s="111"/>
      <c r="AK296" s="111"/>
      <c r="AN296" s="133"/>
      <c r="AO296" s="133"/>
      <c r="AP296" s="133"/>
      <c r="AQ296" s="133"/>
      <c r="AR296" s="133"/>
      <c r="AS296" s="133"/>
      <c r="AT296" s="133"/>
      <c r="AU296" s="133"/>
      <c r="AV296" s="133"/>
    </row>
    <row r="297" ht="19.5" hidden="1" customHeight="1" spans="1:48">
      <c r="A297" s="81" t="s">
        <v>83</v>
      </c>
      <c r="B297" s="81"/>
      <c r="C297" s="39"/>
      <c r="D297" s="151"/>
      <c r="E297" s="114" t="s">
        <v>41</v>
      </c>
      <c r="F297" s="110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N297" s="133"/>
      <c r="AO297" s="133"/>
      <c r="AP297" s="133"/>
      <c r="AQ297" s="133"/>
      <c r="AR297" s="133"/>
      <c r="AS297" s="133"/>
      <c r="AT297" s="133"/>
      <c r="AU297" s="133"/>
      <c r="AV297" s="133"/>
    </row>
    <row r="298" ht="19.5" hidden="1" customHeight="1" spans="1:48">
      <c r="A298" s="78" t="s">
        <v>41</v>
      </c>
      <c r="B298" s="78">
        <f>B297*$E$12</f>
        <v>0</v>
      </c>
      <c r="C298" s="39"/>
      <c r="D298" s="151"/>
      <c r="E298" s="115" t="s">
        <v>46</v>
      </c>
      <c r="F298" s="120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6"/>
      <c r="V298" s="116"/>
      <c r="W298" s="116"/>
      <c r="X298" s="116"/>
      <c r="Y298" s="116"/>
      <c r="Z298" s="116"/>
      <c r="AA298" s="116"/>
      <c r="AB298" s="116"/>
      <c r="AC298" s="116"/>
      <c r="AD298" s="116"/>
      <c r="AE298" s="116"/>
      <c r="AF298" s="116"/>
      <c r="AG298" s="116"/>
      <c r="AH298" s="116"/>
      <c r="AI298" s="116"/>
      <c r="AJ298" s="116"/>
      <c r="AK298" s="116"/>
      <c r="AN298" s="133"/>
      <c r="AO298" s="133"/>
      <c r="AP298" s="133"/>
      <c r="AQ298" s="133"/>
      <c r="AR298" s="133"/>
      <c r="AS298" s="133"/>
      <c r="AT298" s="133"/>
      <c r="AU298" s="133"/>
      <c r="AV298" s="133"/>
    </row>
    <row r="299" ht="19.5" hidden="1" customHeight="1" spans="1:48">
      <c r="A299" s="85" t="s">
        <v>84</v>
      </c>
      <c r="B299" s="81"/>
      <c r="C299" s="39"/>
      <c r="D299" s="151"/>
      <c r="E299" s="86" t="s">
        <v>45</v>
      </c>
      <c r="F299" s="120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6"/>
      <c r="V299" s="116"/>
      <c r="W299" s="116"/>
      <c r="X299" s="116"/>
      <c r="Y299" s="116"/>
      <c r="Z299" s="116"/>
      <c r="AA299" s="116"/>
      <c r="AB299" s="116"/>
      <c r="AC299" s="116"/>
      <c r="AD299" s="116"/>
      <c r="AE299" s="116"/>
      <c r="AF299" s="116"/>
      <c r="AG299" s="116"/>
      <c r="AH299" s="116"/>
      <c r="AI299" s="116"/>
      <c r="AJ299" s="116"/>
      <c r="AK299" s="116"/>
      <c r="AN299" s="133"/>
      <c r="AO299" s="133"/>
      <c r="AP299" s="133"/>
      <c r="AQ299" s="133"/>
      <c r="AR299" s="133"/>
      <c r="AS299" s="133"/>
      <c r="AT299" s="133"/>
      <c r="AU299" s="133"/>
      <c r="AV299" s="133"/>
    </row>
    <row r="300" ht="19.5" hidden="1" customHeight="1" spans="1:48">
      <c r="A300" s="78" t="s">
        <v>45</v>
      </c>
      <c r="B300" s="78">
        <f>B299*$B$16</f>
        <v>0</v>
      </c>
      <c r="C300" s="39"/>
      <c r="D300" s="151"/>
      <c r="E300" s="86" t="s">
        <v>49</v>
      </c>
      <c r="F300" s="120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6"/>
      <c r="V300" s="116"/>
      <c r="W300" s="116"/>
      <c r="X300" s="116"/>
      <c r="Y300" s="116"/>
      <c r="Z300" s="116"/>
      <c r="AA300" s="116"/>
      <c r="AB300" s="116"/>
      <c r="AC300" s="116"/>
      <c r="AD300" s="116"/>
      <c r="AE300" s="116"/>
      <c r="AF300" s="116"/>
      <c r="AG300" s="116"/>
      <c r="AH300" s="116"/>
      <c r="AI300" s="116"/>
      <c r="AJ300" s="116"/>
      <c r="AK300" s="116"/>
      <c r="AN300" s="133"/>
      <c r="AO300" s="133"/>
      <c r="AP300" s="133"/>
      <c r="AQ300" s="133"/>
      <c r="AR300" s="133"/>
      <c r="AS300" s="133"/>
      <c r="AT300" s="133"/>
      <c r="AU300" s="133"/>
      <c r="AV300" s="133"/>
    </row>
    <row r="301" ht="19.5" hidden="1" customHeight="1" spans="1:48">
      <c r="A301" s="78" t="s">
        <v>46</v>
      </c>
      <c r="B301" s="87" t="e">
        <f>B300/B298</f>
        <v>#DIV/0!</v>
      </c>
      <c r="C301" s="39"/>
      <c r="D301" s="151"/>
      <c r="E301" s="114" t="s">
        <v>85</v>
      </c>
      <c r="F301" s="42" t="e">
        <f>SUM(G301:AK301)</f>
        <v>#REF!</v>
      </c>
      <c r="G301" s="117" t="e">
        <f>SUMIFS(#REF!,#REF!,$C$215&amp;G$62)</f>
        <v>#REF!</v>
      </c>
      <c r="H301" s="117" t="e">
        <f>SUMIFS(#REF!,#REF!,$C$215&amp;H$62)</f>
        <v>#REF!</v>
      </c>
      <c r="I301" s="117" t="e">
        <f>SUMIFS(#REF!,#REF!,$C$215&amp;I$62)</f>
        <v>#REF!</v>
      </c>
      <c r="J301" s="117" t="e">
        <f>SUMIFS(#REF!,#REF!,$C$215&amp;J$62)</f>
        <v>#REF!</v>
      </c>
      <c r="K301" s="117" t="e">
        <f>SUMIFS(#REF!,#REF!,$C$215&amp;K$62)</f>
        <v>#REF!</v>
      </c>
      <c r="L301" s="117" t="e">
        <f>SUMIFS(#REF!,#REF!,$C$215&amp;L$62)</f>
        <v>#REF!</v>
      </c>
      <c r="M301" s="117" t="e">
        <f>SUMIFS(#REF!,#REF!,$C$215&amp;M$62)</f>
        <v>#REF!</v>
      </c>
      <c r="N301" s="117" t="e">
        <f>SUMIFS(#REF!,#REF!,$C$215&amp;N$62)</f>
        <v>#REF!</v>
      </c>
      <c r="O301" s="117" t="e">
        <f>SUMIFS(#REF!,#REF!,$C$215&amp;O$62)</f>
        <v>#REF!</v>
      </c>
      <c r="P301" s="117" t="e">
        <f>SUMIFS(#REF!,#REF!,$C$215&amp;P$62)</f>
        <v>#REF!</v>
      </c>
      <c r="Q301" s="117" t="e">
        <f>SUMIFS(#REF!,#REF!,$C$215&amp;Q$62)</f>
        <v>#REF!</v>
      </c>
      <c r="R301" s="117" t="e">
        <f>SUMIFS(#REF!,#REF!,$C$215&amp;R$62)</f>
        <v>#REF!</v>
      </c>
      <c r="S301" s="117" t="e">
        <f>SUMIFS(#REF!,#REF!,$C$215&amp;S$62)</f>
        <v>#REF!</v>
      </c>
      <c r="T301" s="117" t="e">
        <f>SUMIFS(#REF!,#REF!,$C$215&amp;T$62)</f>
        <v>#REF!</v>
      </c>
      <c r="U301" s="117" t="e">
        <f>SUMIFS(#REF!,#REF!,$C$215&amp;U$62)</f>
        <v>#REF!</v>
      </c>
      <c r="V301" s="117" t="e">
        <f>SUMIFS(#REF!,#REF!,$C$215&amp;V$62)</f>
        <v>#REF!</v>
      </c>
      <c r="W301" s="117" t="e">
        <f>SUMIFS(#REF!,#REF!,$C$215&amp;W$62)</f>
        <v>#REF!</v>
      </c>
      <c r="X301" s="117" t="e">
        <f>SUMIFS(#REF!,#REF!,$C$215&amp;X$62)</f>
        <v>#REF!</v>
      </c>
      <c r="Y301" s="117" t="e">
        <f>SUMIFS(#REF!,#REF!,$C$215&amp;Y$62)</f>
        <v>#REF!</v>
      </c>
      <c r="Z301" s="117" t="e">
        <f>SUMIFS(#REF!,#REF!,$C$215&amp;Z$62)</f>
        <v>#REF!</v>
      </c>
      <c r="AA301" s="117" t="e">
        <f>SUMIFS(#REF!,#REF!,$C$215&amp;AA$62)</f>
        <v>#REF!</v>
      </c>
      <c r="AB301" s="117" t="e">
        <f>SUMIFS(#REF!,#REF!,$C$215&amp;AB$62)</f>
        <v>#REF!</v>
      </c>
      <c r="AC301" s="117" t="e">
        <f>SUMIFS(#REF!,#REF!,$C$215&amp;AC$62)</f>
        <v>#REF!</v>
      </c>
      <c r="AD301" s="117" t="e">
        <f>SUMIFS(#REF!,#REF!,$C$215&amp;AD$62)</f>
        <v>#REF!</v>
      </c>
      <c r="AE301" s="117" t="e">
        <f>SUMIFS(#REF!,#REF!,$C$215&amp;AE$62)</f>
        <v>#REF!</v>
      </c>
      <c r="AF301" s="117" t="e">
        <f>SUMIFS(#REF!,#REF!,$C$215&amp;AF$62)</f>
        <v>#REF!</v>
      </c>
      <c r="AG301" s="117" t="e">
        <f>SUMIFS(#REF!,#REF!,$C$215&amp;AG$62)</f>
        <v>#REF!</v>
      </c>
      <c r="AH301" s="117" t="e">
        <f>SUMIFS(#REF!,#REF!,$C$215&amp;AH$62)</f>
        <v>#REF!</v>
      </c>
      <c r="AI301" s="117" t="e">
        <f>SUMIFS(#REF!,#REF!,$C$215&amp;AI$62)</f>
        <v>#REF!</v>
      </c>
      <c r="AJ301" s="117" t="e">
        <f>SUMIFS(#REF!,#REF!,$C$215&amp;AJ$62)</f>
        <v>#REF!</v>
      </c>
      <c r="AK301" s="117" t="e">
        <f>SUMIFS(#REF!,#REF!,$C$215&amp;AK$62)</f>
        <v>#REF!</v>
      </c>
      <c r="AN301" s="133"/>
      <c r="AO301" s="133"/>
      <c r="AP301" s="133"/>
      <c r="AQ301" s="133"/>
      <c r="AR301" s="133"/>
      <c r="AS301" s="133"/>
      <c r="AT301" s="133"/>
      <c r="AU301" s="133"/>
      <c r="AV301" s="133"/>
    </row>
    <row r="302" ht="19.5" hidden="1" customHeight="1" spans="1:48">
      <c r="A302" s="146"/>
      <c r="B302" s="147"/>
      <c r="C302" s="39"/>
      <c r="D302" s="151"/>
      <c r="E302" s="114" t="s">
        <v>86</v>
      </c>
      <c r="F302" s="42" t="e">
        <f>SUM(G302:AK302)</f>
        <v>#REF!</v>
      </c>
      <c r="G302" s="117" t="e">
        <f>SUMIFS(#REF!,#REF!,$C$215&amp;G$62)</f>
        <v>#REF!</v>
      </c>
      <c r="H302" s="117" t="e">
        <f>SUMIFS(#REF!,#REF!,$C$215&amp;H$62)</f>
        <v>#REF!</v>
      </c>
      <c r="I302" s="117" t="e">
        <f>SUMIFS(#REF!,#REF!,$C$215&amp;I$62)</f>
        <v>#REF!</v>
      </c>
      <c r="J302" s="117" t="e">
        <f>SUMIFS(#REF!,#REF!,$C$215&amp;J$62)</f>
        <v>#REF!</v>
      </c>
      <c r="K302" s="117" t="e">
        <f>SUMIFS(#REF!,#REF!,$C$215&amp;K$62)</f>
        <v>#REF!</v>
      </c>
      <c r="L302" s="117" t="e">
        <f>SUMIFS(#REF!,#REF!,$C$215&amp;L$62)</f>
        <v>#REF!</v>
      </c>
      <c r="M302" s="117" t="e">
        <f>SUMIFS(#REF!,#REF!,$C$215&amp;M$62)</f>
        <v>#REF!</v>
      </c>
      <c r="N302" s="117" t="e">
        <f>SUMIFS(#REF!,#REF!,$C$215&amp;N$62)</f>
        <v>#REF!</v>
      </c>
      <c r="O302" s="117" t="e">
        <f>SUMIFS(#REF!,#REF!,$C$215&amp;O$62)</f>
        <v>#REF!</v>
      </c>
      <c r="P302" s="117" t="e">
        <f>SUMIFS(#REF!,#REF!,$C$215&amp;P$62)</f>
        <v>#REF!</v>
      </c>
      <c r="Q302" s="117" t="e">
        <f>SUMIFS(#REF!,#REF!,$C$215&amp;Q$62)</f>
        <v>#REF!</v>
      </c>
      <c r="R302" s="117" t="e">
        <f>SUMIFS(#REF!,#REF!,$C$215&amp;R$62)</f>
        <v>#REF!</v>
      </c>
      <c r="S302" s="117" t="e">
        <f>SUMIFS(#REF!,#REF!,$C$215&amp;S$62)</f>
        <v>#REF!</v>
      </c>
      <c r="T302" s="117" t="e">
        <f>SUMIFS(#REF!,#REF!,$C$215&amp;T$62)</f>
        <v>#REF!</v>
      </c>
      <c r="U302" s="117" t="e">
        <f>SUMIFS(#REF!,#REF!,$C$215&amp;U$62)</f>
        <v>#REF!</v>
      </c>
      <c r="V302" s="117" t="e">
        <f>SUMIFS(#REF!,#REF!,$C$215&amp;V$62)</f>
        <v>#REF!</v>
      </c>
      <c r="W302" s="117" t="e">
        <f>SUMIFS(#REF!,#REF!,$C$215&amp;W$62)</f>
        <v>#REF!</v>
      </c>
      <c r="X302" s="117" t="e">
        <f>SUMIFS(#REF!,#REF!,$C$215&amp;X$62)</f>
        <v>#REF!</v>
      </c>
      <c r="Y302" s="117" t="e">
        <f>SUMIFS(#REF!,#REF!,$C$215&amp;Y$62)</f>
        <v>#REF!</v>
      </c>
      <c r="Z302" s="117" t="e">
        <f>SUMIFS(#REF!,#REF!,$C$215&amp;Z$62)</f>
        <v>#REF!</v>
      </c>
      <c r="AA302" s="117" t="e">
        <f>SUMIFS(#REF!,#REF!,$C$215&amp;AA$62)</f>
        <v>#REF!</v>
      </c>
      <c r="AB302" s="117" t="e">
        <f>SUMIFS(#REF!,#REF!,$C$215&amp;AB$62)</f>
        <v>#REF!</v>
      </c>
      <c r="AC302" s="117" t="e">
        <f>SUMIFS(#REF!,#REF!,$C$215&amp;AC$62)</f>
        <v>#REF!</v>
      </c>
      <c r="AD302" s="117" t="e">
        <f>SUMIFS(#REF!,#REF!,$C$215&amp;AD$62)</f>
        <v>#REF!</v>
      </c>
      <c r="AE302" s="117" t="e">
        <f>SUMIFS(#REF!,#REF!,$C$215&amp;AE$62)</f>
        <v>#REF!</v>
      </c>
      <c r="AF302" s="117" t="e">
        <f>SUMIFS(#REF!,#REF!,$C$215&amp;AF$62)</f>
        <v>#REF!</v>
      </c>
      <c r="AG302" s="117" t="e">
        <f>SUMIFS(#REF!,#REF!,$C$215&amp;AG$62)</f>
        <v>#REF!</v>
      </c>
      <c r="AH302" s="117" t="e">
        <f>SUMIFS(#REF!,#REF!,$C$215&amp;AH$62)</f>
        <v>#REF!</v>
      </c>
      <c r="AI302" s="117" t="e">
        <f>SUMIFS(#REF!,#REF!,$C$215&amp;AI$62)</f>
        <v>#REF!</v>
      </c>
      <c r="AJ302" s="117" t="e">
        <f>SUMIFS(#REF!,#REF!,$C$215&amp;AJ$62)</f>
        <v>#REF!</v>
      </c>
      <c r="AK302" s="117" t="e">
        <f>SUMIFS(#REF!,#REF!,$C$215&amp;AK$62)</f>
        <v>#REF!</v>
      </c>
      <c r="AN302" s="133"/>
      <c r="AO302" s="133"/>
      <c r="AP302" s="133"/>
      <c r="AQ302" s="133"/>
      <c r="AR302" s="133"/>
      <c r="AS302" s="133"/>
      <c r="AT302" s="133"/>
      <c r="AU302" s="133"/>
      <c r="AV302" s="133"/>
    </row>
    <row r="303" ht="19.5" hidden="1" customHeight="1" spans="1:48">
      <c r="A303" s="146"/>
      <c r="B303" s="146"/>
      <c r="C303" s="39"/>
      <c r="D303" s="151"/>
      <c r="E303" s="114" t="s">
        <v>43</v>
      </c>
      <c r="F303" s="119">
        <f t="shared" ref="F303:AK303" si="119">IFERROR(F302/F297,0)</f>
        <v>0</v>
      </c>
      <c r="G303" s="119">
        <f t="shared" si="119"/>
        <v>0</v>
      </c>
      <c r="H303" s="119">
        <f t="shared" si="119"/>
        <v>0</v>
      </c>
      <c r="I303" s="119">
        <f t="shared" si="119"/>
        <v>0</v>
      </c>
      <c r="J303" s="119">
        <f t="shared" si="119"/>
        <v>0</v>
      </c>
      <c r="K303" s="119">
        <f t="shared" si="119"/>
        <v>0</v>
      </c>
      <c r="L303" s="119">
        <f t="shared" si="119"/>
        <v>0</v>
      </c>
      <c r="M303" s="119">
        <f t="shared" si="119"/>
        <v>0</v>
      </c>
      <c r="N303" s="119">
        <f t="shared" si="119"/>
        <v>0</v>
      </c>
      <c r="O303" s="119">
        <f t="shared" si="119"/>
        <v>0</v>
      </c>
      <c r="P303" s="119">
        <f t="shared" si="119"/>
        <v>0</v>
      </c>
      <c r="Q303" s="119">
        <f t="shared" si="119"/>
        <v>0</v>
      </c>
      <c r="R303" s="119">
        <f t="shared" si="119"/>
        <v>0</v>
      </c>
      <c r="S303" s="119">
        <f t="shared" si="119"/>
        <v>0</v>
      </c>
      <c r="T303" s="119">
        <f t="shared" si="119"/>
        <v>0</v>
      </c>
      <c r="U303" s="119">
        <f t="shared" si="119"/>
        <v>0</v>
      </c>
      <c r="V303" s="119">
        <f t="shared" si="119"/>
        <v>0</v>
      </c>
      <c r="W303" s="119">
        <f t="shared" si="119"/>
        <v>0</v>
      </c>
      <c r="X303" s="119">
        <f t="shared" si="119"/>
        <v>0</v>
      </c>
      <c r="Y303" s="119">
        <f t="shared" si="119"/>
        <v>0</v>
      </c>
      <c r="Z303" s="119">
        <f t="shared" si="119"/>
        <v>0</v>
      </c>
      <c r="AA303" s="119">
        <f t="shared" si="119"/>
        <v>0</v>
      </c>
      <c r="AB303" s="119">
        <f t="shared" si="119"/>
        <v>0</v>
      </c>
      <c r="AC303" s="119">
        <f t="shared" si="119"/>
        <v>0</v>
      </c>
      <c r="AD303" s="119">
        <f t="shared" si="119"/>
        <v>0</v>
      </c>
      <c r="AE303" s="119">
        <f t="shared" si="119"/>
        <v>0</v>
      </c>
      <c r="AF303" s="119">
        <f t="shared" si="119"/>
        <v>0</v>
      </c>
      <c r="AG303" s="119">
        <f t="shared" si="119"/>
        <v>0</v>
      </c>
      <c r="AH303" s="119">
        <f t="shared" si="119"/>
        <v>0</v>
      </c>
      <c r="AI303" s="119">
        <f t="shared" si="119"/>
        <v>0</v>
      </c>
      <c r="AJ303" s="119">
        <f t="shared" si="119"/>
        <v>0</v>
      </c>
      <c r="AK303" s="119">
        <f t="shared" si="119"/>
        <v>0</v>
      </c>
      <c r="AN303" s="133"/>
      <c r="AO303" s="133"/>
      <c r="AP303" s="133"/>
      <c r="AQ303" s="133"/>
      <c r="AR303" s="133"/>
      <c r="AS303" s="133"/>
      <c r="AT303" s="133"/>
      <c r="AU303" s="133"/>
      <c r="AV303" s="133"/>
    </row>
    <row r="304" ht="19.5" hidden="1" customHeight="1" spans="1:48">
      <c r="A304" s="146"/>
      <c r="B304" s="146"/>
      <c r="C304" s="39"/>
      <c r="D304" s="151"/>
      <c r="E304" s="114" t="s">
        <v>47</v>
      </c>
      <c r="F304" s="123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N304" s="133"/>
      <c r="AO304" s="133"/>
      <c r="AP304" s="133"/>
      <c r="AQ304" s="133"/>
      <c r="AR304" s="133"/>
      <c r="AS304" s="133"/>
      <c r="AT304" s="133"/>
      <c r="AU304" s="133"/>
      <c r="AV304" s="133"/>
    </row>
    <row r="305" ht="19.5" customHeight="1" spans="1:48">
      <c r="A305" s="77"/>
      <c r="B305" s="78"/>
      <c r="C305" s="39"/>
      <c r="D305" s="130" t="s">
        <v>38</v>
      </c>
      <c r="E305" s="115" t="s">
        <v>82</v>
      </c>
      <c r="F305" s="110">
        <f>SUM(G305:AK305)</f>
        <v>787.327510665803</v>
      </c>
      <c r="G305" s="154">
        <f t="shared" ref="G305:AK305" si="120">G215+G224+G233+G242+G251+G260+G269+G278</f>
        <v>23.6198253199741</v>
      </c>
      <c r="H305" s="154">
        <f t="shared" si="120"/>
        <v>23.6198253199741</v>
      </c>
      <c r="I305" s="154">
        <f t="shared" si="120"/>
        <v>23.6198253199741</v>
      </c>
      <c r="J305" s="154">
        <f t="shared" si="120"/>
        <v>23.6198253199741</v>
      </c>
      <c r="K305" s="154">
        <f t="shared" si="120"/>
        <v>23.6198253199741</v>
      </c>
      <c r="L305" s="154">
        <f t="shared" si="120"/>
        <v>15.746550213316</v>
      </c>
      <c r="M305" s="154">
        <f t="shared" si="120"/>
        <v>47.2396506399482</v>
      </c>
      <c r="N305" s="154">
        <f t="shared" si="120"/>
        <v>23.6198253199741</v>
      </c>
      <c r="O305" s="154">
        <f t="shared" si="120"/>
        <v>31.4931004266321</v>
      </c>
      <c r="P305" s="154">
        <f t="shared" si="120"/>
        <v>23.6198253199741</v>
      </c>
      <c r="Q305" s="154">
        <f t="shared" si="120"/>
        <v>23.6198253199741</v>
      </c>
      <c r="R305" s="154">
        <f t="shared" si="120"/>
        <v>23.6198253199741</v>
      </c>
      <c r="S305" s="154">
        <f t="shared" si="120"/>
        <v>23.6198253199741</v>
      </c>
      <c r="T305" s="154">
        <f t="shared" si="120"/>
        <v>23.6198253199741</v>
      </c>
      <c r="U305" s="154">
        <f t="shared" si="120"/>
        <v>23.6198253199741</v>
      </c>
      <c r="V305" s="154">
        <f t="shared" si="120"/>
        <v>23.6198253199741</v>
      </c>
      <c r="W305" s="154">
        <f t="shared" si="120"/>
        <v>47.2396506399482</v>
      </c>
      <c r="X305" s="154">
        <f t="shared" si="120"/>
        <v>23.6198253199741</v>
      </c>
      <c r="Y305" s="154">
        <f t="shared" si="120"/>
        <v>31.4931004266321</v>
      </c>
      <c r="Z305" s="154">
        <f t="shared" si="120"/>
        <v>15.746550213316</v>
      </c>
      <c r="AA305" s="154">
        <f t="shared" si="120"/>
        <v>23.6198253199741</v>
      </c>
      <c r="AB305" s="154">
        <f t="shared" si="120"/>
        <v>23.6198253199741</v>
      </c>
      <c r="AC305" s="154">
        <f t="shared" si="120"/>
        <v>23.6198253199741</v>
      </c>
      <c r="AD305" s="154">
        <f t="shared" si="120"/>
        <v>15.746550213316</v>
      </c>
      <c r="AE305" s="154">
        <f t="shared" si="120"/>
        <v>31.4931004266321</v>
      </c>
      <c r="AF305" s="154">
        <f t="shared" si="120"/>
        <v>31.4931004266321</v>
      </c>
      <c r="AG305" s="154">
        <f t="shared" si="120"/>
        <v>23.6198253199741</v>
      </c>
      <c r="AH305" s="154">
        <f t="shared" si="120"/>
        <v>31.4931004266321</v>
      </c>
      <c r="AI305" s="154">
        <f t="shared" si="120"/>
        <v>23.6198253199741</v>
      </c>
      <c r="AJ305" s="154">
        <f t="shared" si="120"/>
        <v>23.6198253199741</v>
      </c>
      <c r="AK305" s="154">
        <f t="shared" si="120"/>
        <v>15.746550213316</v>
      </c>
      <c r="AN305" s="133"/>
      <c r="AO305" s="133"/>
      <c r="AP305" s="133"/>
      <c r="AQ305" s="133"/>
      <c r="AR305" s="133"/>
      <c r="AS305" s="133"/>
      <c r="AT305" s="133"/>
      <c r="AU305" s="133"/>
      <c r="AV305" s="133"/>
    </row>
    <row r="306" ht="19.5" customHeight="1" spans="1:48">
      <c r="A306" s="81"/>
      <c r="B306" s="81"/>
      <c r="C306" s="39"/>
      <c r="D306" s="151"/>
      <c r="E306" s="114" t="s">
        <v>41</v>
      </c>
      <c r="F306" s="110">
        <f>SUM(G306:AK306)</f>
        <v>500000</v>
      </c>
      <c r="G306" s="154">
        <f t="shared" ref="G306:AK306" si="121">G216+G225+G234+G243+G252+G261+G270+G279</f>
        <v>15000</v>
      </c>
      <c r="H306" s="154">
        <f t="shared" si="121"/>
        <v>15000</v>
      </c>
      <c r="I306" s="154">
        <f t="shared" si="121"/>
        <v>15000</v>
      </c>
      <c r="J306" s="154">
        <f t="shared" si="121"/>
        <v>15000</v>
      </c>
      <c r="K306" s="154">
        <f t="shared" si="121"/>
        <v>15000</v>
      </c>
      <c r="L306" s="154">
        <f t="shared" si="121"/>
        <v>10000</v>
      </c>
      <c r="M306" s="154">
        <f t="shared" si="121"/>
        <v>30000</v>
      </c>
      <c r="N306" s="154">
        <f t="shared" si="121"/>
        <v>15000</v>
      </c>
      <c r="O306" s="154">
        <f t="shared" si="121"/>
        <v>20000</v>
      </c>
      <c r="P306" s="154">
        <f t="shared" si="121"/>
        <v>15000</v>
      </c>
      <c r="Q306" s="154">
        <f t="shared" si="121"/>
        <v>15000</v>
      </c>
      <c r="R306" s="154">
        <f t="shared" si="121"/>
        <v>15000</v>
      </c>
      <c r="S306" s="154">
        <f t="shared" si="121"/>
        <v>15000</v>
      </c>
      <c r="T306" s="154">
        <f t="shared" si="121"/>
        <v>15000</v>
      </c>
      <c r="U306" s="154">
        <f t="shared" si="121"/>
        <v>15000</v>
      </c>
      <c r="V306" s="154">
        <f t="shared" si="121"/>
        <v>15000</v>
      </c>
      <c r="W306" s="154">
        <f t="shared" si="121"/>
        <v>30000</v>
      </c>
      <c r="X306" s="154">
        <f t="shared" si="121"/>
        <v>15000</v>
      </c>
      <c r="Y306" s="154">
        <f t="shared" si="121"/>
        <v>20000</v>
      </c>
      <c r="Z306" s="154">
        <f t="shared" si="121"/>
        <v>10000</v>
      </c>
      <c r="AA306" s="154">
        <f t="shared" si="121"/>
        <v>15000</v>
      </c>
      <c r="AB306" s="154">
        <f t="shared" si="121"/>
        <v>15000</v>
      </c>
      <c r="AC306" s="154">
        <f t="shared" si="121"/>
        <v>15000</v>
      </c>
      <c r="AD306" s="154">
        <f t="shared" si="121"/>
        <v>10000</v>
      </c>
      <c r="AE306" s="154">
        <f t="shared" si="121"/>
        <v>20000</v>
      </c>
      <c r="AF306" s="154">
        <f t="shared" si="121"/>
        <v>20000</v>
      </c>
      <c r="AG306" s="154">
        <f t="shared" si="121"/>
        <v>15000</v>
      </c>
      <c r="AH306" s="154">
        <f t="shared" si="121"/>
        <v>20000</v>
      </c>
      <c r="AI306" s="154">
        <f t="shared" si="121"/>
        <v>15000</v>
      </c>
      <c r="AJ306" s="154">
        <f t="shared" si="121"/>
        <v>15000</v>
      </c>
      <c r="AK306" s="154">
        <f t="shared" si="121"/>
        <v>10000</v>
      </c>
      <c r="AN306" s="133"/>
      <c r="AO306" s="133"/>
      <c r="AP306" s="133"/>
      <c r="AQ306" s="133"/>
      <c r="AR306" s="133"/>
      <c r="AS306" s="133"/>
      <c r="AT306" s="133"/>
      <c r="AU306" s="133"/>
      <c r="AV306" s="133"/>
    </row>
    <row r="307" ht="19.5" customHeight="1" spans="1:48">
      <c r="A307" s="78"/>
      <c r="B307" s="78"/>
      <c r="C307" s="39"/>
      <c r="D307" s="151"/>
      <c r="E307" s="115" t="s">
        <v>46</v>
      </c>
      <c r="F307" s="139">
        <f t="shared" ref="F307:AK307" si="122">F308/F306</f>
        <v>0.13</v>
      </c>
      <c r="G307" s="139">
        <f t="shared" si="122"/>
        <v>0.13</v>
      </c>
      <c r="H307" s="139">
        <f t="shared" si="122"/>
        <v>0.13</v>
      </c>
      <c r="I307" s="139">
        <f t="shared" si="122"/>
        <v>0.13</v>
      </c>
      <c r="J307" s="139">
        <f t="shared" si="122"/>
        <v>0.13</v>
      </c>
      <c r="K307" s="139">
        <f t="shared" si="122"/>
        <v>0.13</v>
      </c>
      <c r="L307" s="139">
        <f t="shared" si="122"/>
        <v>0.13</v>
      </c>
      <c r="M307" s="139">
        <f t="shared" si="122"/>
        <v>0.13</v>
      </c>
      <c r="N307" s="139">
        <f t="shared" si="122"/>
        <v>0.13</v>
      </c>
      <c r="O307" s="139">
        <f t="shared" si="122"/>
        <v>0.13</v>
      </c>
      <c r="P307" s="139">
        <f t="shared" si="122"/>
        <v>0.13</v>
      </c>
      <c r="Q307" s="139">
        <f t="shared" si="122"/>
        <v>0.13</v>
      </c>
      <c r="R307" s="139">
        <f t="shared" si="122"/>
        <v>0.13</v>
      </c>
      <c r="S307" s="139">
        <f t="shared" si="122"/>
        <v>0.13</v>
      </c>
      <c r="T307" s="139">
        <f t="shared" si="122"/>
        <v>0.13</v>
      </c>
      <c r="U307" s="139">
        <f t="shared" si="122"/>
        <v>0.13</v>
      </c>
      <c r="V307" s="139">
        <f t="shared" si="122"/>
        <v>0.13</v>
      </c>
      <c r="W307" s="139">
        <f t="shared" si="122"/>
        <v>0.13</v>
      </c>
      <c r="X307" s="139">
        <f t="shared" si="122"/>
        <v>0.13</v>
      </c>
      <c r="Y307" s="139">
        <f t="shared" si="122"/>
        <v>0.13</v>
      </c>
      <c r="Z307" s="139">
        <f t="shared" si="122"/>
        <v>0.13</v>
      </c>
      <c r="AA307" s="139">
        <f t="shared" si="122"/>
        <v>0.13</v>
      </c>
      <c r="AB307" s="139">
        <f t="shared" si="122"/>
        <v>0.13</v>
      </c>
      <c r="AC307" s="139">
        <f t="shared" si="122"/>
        <v>0.13</v>
      </c>
      <c r="AD307" s="139">
        <f t="shared" si="122"/>
        <v>0.13</v>
      </c>
      <c r="AE307" s="139">
        <f t="shared" si="122"/>
        <v>0.13</v>
      </c>
      <c r="AF307" s="139">
        <f t="shared" si="122"/>
        <v>0.13</v>
      </c>
      <c r="AG307" s="139">
        <f t="shared" si="122"/>
        <v>0.13</v>
      </c>
      <c r="AH307" s="139">
        <f t="shared" si="122"/>
        <v>0.13</v>
      </c>
      <c r="AI307" s="139">
        <f t="shared" si="122"/>
        <v>0.13</v>
      </c>
      <c r="AJ307" s="139">
        <f t="shared" si="122"/>
        <v>0.13</v>
      </c>
      <c r="AK307" s="139">
        <f t="shared" si="122"/>
        <v>0.13</v>
      </c>
      <c r="AN307" s="133"/>
      <c r="AO307" s="133"/>
      <c r="AP307" s="133"/>
      <c r="AQ307" s="133"/>
      <c r="AR307" s="133"/>
      <c r="AS307" s="133"/>
      <c r="AT307" s="133"/>
      <c r="AU307" s="133"/>
      <c r="AV307" s="133"/>
    </row>
    <row r="308" ht="19.5" customHeight="1" spans="1:48">
      <c r="A308" s="85"/>
      <c r="B308" s="81"/>
      <c r="C308" s="39"/>
      <c r="D308" s="151"/>
      <c r="E308" s="86" t="s">
        <v>45</v>
      </c>
      <c r="F308" s="110">
        <f>SUM(G308:AK308)</f>
        <v>65000</v>
      </c>
      <c r="G308" s="141">
        <f t="shared" ref="G308:AK308" si="123">G218+G236+G245+G263</f>
        <v>1950</v>
      </c>
      <c r="H308" s="141">
        <f t="shared" si="123"/>
        <v>1950</v>
      </c>
      <c r="I308" s="141">
        <f t="shared" si="123"/>
        <v>1950</v>
      </c>
      <c r="J308" s="141">
        <f t="shared" si="123"/>
        <v>1950</v>
      </c>
      <c r="K308" s="141">
        <f t="shared" si="123"/>
        <v>1950</v>
      </c>
      <c r="L308" s="141">
        <f t="shared" si="123"/>
        <v>1300</v>
      </c>
      <c r="M308" s="141">
        <f t="shared" si="123"/>
        <v>3900</v>
      </c>
      <c r="N308" s="141">
        <f t="shared" si="123"/>
        <v>1950</v>
      </c>
      <c r="O308" s="141">
        <f t="shared" si="123"/>
        <v>2600</v>
      </c>
      <c r="P308" s="141">
        <f t="shared" si="123"/>
        <v>1950</v>
      </c>
      <c r="Q308" s="141">
        <f t="shared" si="123"/>
        <v>1950</v>
      </c>
      <c r="R308" s="141">
        <f t="shared" si="123"/>
        <v>1950</v>
      </c>
      <c r="S308" s="141">
        <f t="shared" si="123"/>
        <v>1950</v>
      </c>
      <c r="T308" s="141">
        <f t="shared" si="123"/>
        <v>1950</v>
      </c>
      <c r="U308" s="141">
        <f t="shared" si="123"/>
        <v>1950</v>
      </c>
      <c r="V308" s="141">
        <f t="shared" si="123"/>
        <v>1950</v>
      </c>
      <c r="W308" s="141">
        <f t="shared" si="123"/>
        <v>3900</v>
      </c>
      <c r="X308" s="141">
        <f t="shared" si="123"/>
        <v>1950</v>
      </c>
      <c r="Y308" s="141">
        <f t="shared" si="123"/>
        <v>2600</v>
      </c>
      <c r="Z308" s="141">
        <f t="shared" si="123"/>
        <v>1300</v>
      </c>
      <c r="AA308" s="141">
        <f t="shared" si="123"/>
        <v>1950</v>
      </c>
      <c r="AB308" s="141">
        <f t="shared" si="123"/>
        <v>1950</v>
      </c>
      <c r="AC308" s="141">
        <f t="shared" si="123"/>
        <v>1950</v>
      </c>
      <c r="AD308" s="141">
        <f t="shared" si="123"/>
        <v>1300</v>
      </c>
      <c r="AE308" s="141">
        <f t="shared" si="123"/>
        <v>2600</v>
      </c>
      <c r="AF308" s="141">
        <f t="shared" si="123"/>
        <v>2600</v>
      </c>
      <c r="AG308" s="141">
        <f t="shared" si="123"/>
        <v>1950</v>
      </c>
      <c r="AH308" s="141">
        <f t="shared" si="123"/>
        <v>2600</v>
      </c>
      <c r="AI308" s="141">
        <f t="shared" si="123"/>
        <v>1950</v>
      </c>
      <c r="AJ308" s="141">
        <f t="shared" si="123"/>
        <v>1950</v>
      </c>
      <c r="AK308" s="141">
        <f t="shared" si="123"/>
        <v>1300</v>
      </c>
      <c r="AN308" s="133"/>
      <c r="AO308" s="133"/>
      <c r="AP308" s="133"/>
      <c r="AQ308" s="133"/>
      <c r="AR308" s="133"/>
      <c r="AS308" s="133"/>
      <c r="AT308" s="133"/>
      <c r="AU308" s="133"/>
      <c r="AV308" s="133"/>
    </row>
    <row r="309" ht="19.5" customHeight="1" spans="1:48">
      <c r="A309" s="78"/>
      <c r="B309" s="78"/>
      <c r="C309" s="39"/>
      <c r="D309" s="151"/>
      <c r="E309" s="86" t="s">
        <v>44</v>
      </c>
      <c r="F309" s="116"/>
      <c r="G309" s="155"/>
      <c r="H309" s="155"/>
      <c r="I309" s="155"/>
      <c r="J309" s="155"/>
      <c r="K309" s="155"/>
      <c r="L309" s="155"/>
      <c r="M309" s="155"/>
      <c r="N309" s="155"/>
      <c r="O309" s="155"/>
      <c r="P309" s="155"/>
      <c r="Q309" s="155"/>
      <c r="R309" s="155"/>
      <c r="S309" s="155"/>
      <c r="T309" s="155"/>
      <c r="U309" s="155"/>
      <c r="V309" s="155"/>
      <c r="W309" s="155"/>
      <c r="X309" s="155"/>
      <c r="Y309" s="155"/>
      <c r="Z309" s="155"/>
      <c r="AA309" s="155"/>
      <c r="AB309" s="155"/>
      <c r="AC309" s="155"/>
      <c r="AD309" s="155"/>
      <c r="AE309" s="155"/>
      <c r="AF309" s="155"/>
      <c r="AG309" s="155"/>
      <c r="AH309" s="155"/>
      <c r="AI309" s="155"/>
      <c r="AJ309" s="155"/>
      <c r="AK309" s="155"/>
      <c r="AN309" s="133"/>
      <c r="AO309" s="133"/>
      <c r="AP309" s="133"/>
      <c r="AQ309" s="133"/>
      <c r="AR309" s="133"/>
      <c r="AS309" s="133"/>
      <c r="AT309" s="133"/>
      <c r="AU309" s="133"/>
      <c r="AV309" s="133"/>
    </row>
    <row r="310" ht="19.5" customHeight="1" spans="1:48">
      <c r="A310" s="78"/>
      <c r="B310" s="87"/>
      <c r="C310" s="39"/>
      <c r="D310" s="151"/>
      <c r="E310" s="114" t="s">
        <v>85</v>
      </c>
      <c r="F310" s="123" t="e">
        <f>F220+F229+F238+F247+F256+F265+F274+F283+F292+F301</f>
        <v>#REF!</v>
      </c>
      <c r="G310" s="154">
        <f t="shared" ref="G310:AK310" si="124">G220+G229+G238+G247+G256+G265+G274+G283</f>
        <v>0</v>
      </c>
      <c r="H310" s="154">
        <f t="shared" si="124"/>
        <v>0</v>
      </c>
      <c r="I310" s="154">
        <f t="shared" si="124"/>
        <v>0</v>
      </c>
      <c r="J310" s="154">
        <f t="shared" si="124"/>
        <v>0</v>
      </c>
      <c r="K310" s="154">
        <f t="shared" si="124"/>
        <v>0</v>
      </c>
      <c r="L310" s="154">
        <f t="shared" si="124"/>
        <v>0</v>
      </c>
      <c r="M310" s="154">
        <f t="shared" si="124"/>
        <v>0</v>
      </c>
      <c r="N310" s="154">
        <f t="shared" si="124"/>
        <v>0</v>
      </c>
      <c r="O310" s="154">
        <f t="shared" si="124"/>
        <v>0</v>
      </c>
      <c r="P310" s="154">
        <f t="shared" si="124"/>
        <v>0</v>
      </c>
      <c r="Q310" s="154">
        <f t="shared" si="124"/>
        <v>0</v>
      </c>
      <c r="R310" s="154">
        <f t="shared" si="124"/>
        <v>0</v>
      </c>
      <c r="S310" s="154">
        <f t="shared" si="124"/>
        <v>0</v>
      </c>
      <c r="T310" s="154">
        <f t="shared" si="124"/>
        <v>0</v>
      </c>
      <c r="U310" s="154">
        <f t="shared" si="124"/>
        <v>0</v>
      </c>
      <c r="V310" s="154">
        <f t="shared" si="124"/>
        <v>0</v>
      </c>
      <c r="W310" s="154">
        <f t="shared" si="124"/>
        <v>0</v>
      </c>
      <c r="X310" s="154">
        <f t="shared" si="124"/>
        <v>0</v>
      </c>
      <c r="Y310" s="154">
        <f t="shared" si="124"/>
        <v>0</v>
      </c>
      <c r="Z310" s="154">
        <f t="shared" si="124"/>
        <v>0</v>
      </c>
      <c r="AA310" s="154">
        <f t="shared" si="124"/>
        <v>0</v>
      </c>
      <c r="AB310" s="154">
        <f t="shared" si="124"/>
        <v>0</v>
      </c>
      <c r="AC310" s="154">
        <f t="shared" si="124"/>
        <v>0</v>
      </c>
      <c r="AD310" s="154">
        <f t="shared" si="124"/>
        <v>0</v>
      </c>
      <c r="AE310" s="154">
        <f t="shared" si="124"/>
        <v>0</v>
      </c>
      <c r="AF310" s="154">
        <f t="shared" si="124"/>
        <v>0</v>
      </c>
      <c r="AG310" s="154">
        <f t="shared" si="124"/>
        <v>0</v>
      </c>
      <c r="AH310" s="154">
        <f t="shared" si="124"/>
        <v>0</v>
      </c>
      <c r="AI310" s="154">
        <f t="shared" si="124"/>
        <v>0</v>
      </c>
      <c r="AJ310" s="154">
        <f t="shared" si="124"/>
        <v>0</v>
      </c>
      <c r="AK310" s="154">
        <f t="shared" si="124"/>
        <v>0</v>
      </c>
      <c r="AN310" s="133"/>
      <c r="AO310" s="133"/>
      <c r="AP310" s="133"/>
      <c r="AQ310" s="133"/>
      <c r="AR310" s="133"/>
      <c r="AS310" s="133"/>
      <c r="AT310" s="133"/>
      <c r="AU310" s="133"/>
      <c r="AV310" s="133"/>
    </row>
    <row r="311" ht="19.5" customHeight="1" spans="1:48">
      <c r="A311" s="146"/>
      <c r="B311" s="147"/>
      <c r="C311" s="39"/>
      <c r="D311" s="151"/>
      <c r="E311" s="114" t="s">
        <v>86</v>
      </c>
      <c r="F311" s="123" t="e">
        <f>F221+F230+F239+F248+F257+F266+F275+F284+F293+F302</f>
        <v>#REF!</v>
      </c>
      <c r="G311" s="154">
        <f t="shared" ref="G311:AK311" si="125">G221+G230+G239+G248+G257+G266+G275+G284</f>
        <v>0</v>
      </c>
      <c r="H311" s="154">
        <f t="shared" si="125"/>
        <v>0</v>
      </c>
      <c r="I311" s="154">
        <f t="shared" si="125"/>
        <v>0</v>
      </c>
      <c r="J311" s="154">
        <f t="shared" si="125"/>
        <v>0</v>
      </c>
      <c r="K311" s="154">
        <f t="shared" si="125"/>
        <v>0</v>
      </c>
      <c r="L311" s="154">
        <f t="shared" si="125"/>
        <v>0</v>
      </c>
      <c r="M311" s="154">
        <f t="shared" si="125"/>
        <v>0</v>
      </c>
      <c r="N311" s="154">
        <f t="shared" si="125"/>
        <v>0</v>
      </c>
      <c r="O311" s="154">
        <f t="shared" si="125"/>
        <v>0</v>
      </c>
      <c r="P311" s="154">
        <f t="shared" si="125"/>
        <v>0</v>
      </c>
      <c r="Q311" s="154">
        <f t="shared" si="125"/>
        <v>0</v>
      </c>
      <c r="R311" s="154">
        <f t="shared" si="125"/>
        <v>0</v>
      </c>
      <c r="S311" s="154">
        <f t="shared" si="125"/>
        <v>0</v>
      </c>
      <c r="T311" s="154">
        <f t="shared" si="125"/>
        <v>0</v>
      </c>
      <c r="U311" s="154">
        <f t="shared" si="125"/>
        <v>0</v>
      </c>
      <c r="V311" s="154">
        <f t="shared" si="125"/>
        <v>0</v>
      </c>
      <c r="W311" s="154">
        <f t="shared" si="125"/>
        <v>0</v>
      </c>
      <c r="X311" s="154">
        <f t="shared" si="125"/>
        <v>0</v>
      </c>
      <c r="Y311" s="154">
        <f t="shared" si="125"/>
        <v>0</v>
      </c>
      <c r="Z311" s="154">
        <f t="shared" si="125"/>
        <v>0</v>
      </c>
      <c r="AA311" s="154">
        <f t="shared" si="125"/>
        <v>0</v>
      </c>
      <c r="AB311" s="154">
        <f t="shared" si="125"/>
        <v>0</v>
      </c>
      <c r="AC311" s="154">
        <f t="shared" si="125"/>
        <v>0</v>
      </c>
      <c r="AD311" s="154">
        <f t="shared" si="125"/>
        <v>0</v>
      </c>
      <c r="AE311" s="154">
        <f t="shared" si="125"/>
        <v>0</v>
      </c>
      <c r="AF311" s="154">
        <f t="shared" si="125"/>
        <v>0</v>
      </c>
      <c r="AG311" s="154">
        <f t="shared" si="125"/>
        <v>0</v>
      </c>
      <c r="AH311" s="154">
        <f t="shared" si="125"/>
        <v>0</v>
      </c>
      <c r="AI311" s="154">
        <f t="shared" si="125"/>
        <v>0</v>
      </c>
      <c r="AJ311" s="154">
        <f t="shared" si="125"/>
        <v>0</v>
      </c>
      <c r="AK311" s="154">
        <f t="shared" si="125"/>
        <v>0</v>
      </c>
      <c r="AN311" s="133"/>
      <c r="AO311" s="133"/>
      <c r="AP311" s="133"/>
      <c r="AQ311" s="133"/>
      <c r="AR311" s="133"/>
      <c r="AS311" s="133"/>
      <c r="AT311" s="133"/>
      <c r="AU311" s="133"/>
      <c r="AV311" s="133"/>
    </row>
    <row r="312" ht="19.5" customHeight="1" spans="1:48">
      <c r="A312" s="146"/>
      <c r="B312" s="146"/>
      <c r="C312" s="39"/>
      <c r="D312" s="151"/>
      <c r="E312" s="114" t="s">
        <v>43</v>
      </c>
      <c r="F312" s="118" t="e">
        <f t="shared" ref="F312:AK312" si="126">F311/F306</f>
        <v>#REF!</v>
      </c>
      <c r="G312" s="119">
        <f t="shared" si="126"/>
        <v>0</v>
      </c>
      <c r="H312" s="119">
        <f t="shared" si="126"/>
        <v>0</v>
      </c>
      <c r="I312" s="119">
        <f t="shared" si="126"/>
        <v>0</v>
      </c>
      <c r="J312" s="119">
        <f t="shared" si="126"/>
        <v>0</v>
      </c>
      <c r="K312" s="119">
        <f t="shared" si="126"/>
        <v>0</v>
      </c>
      <c r="L312" s="119">
        <f t="shared" si="126"/>
        <v>0</v>
      </c>
      <c r="M312" s="119">
        <f t="shared" si="126"/>
        <v>0</v>
      </c>
      <c r="N312" s="119">
        <f t="shared" si="126"/>
        <v>0</v>
      </c>
      <c r="O312" s="119">
        <f t="shared" si="126"/>
        <v>0</v>
      </c>
      <c r="P312" s="119">
        <f t="shared" si="126"/>
        <v>0</v>
      </c>
      <c r="Q312" s="119">
        <f t="shared" si="126"/>
        <v>0</v>
      </c>
      <c r="R312" s="119">
        <f t="shared" si="126"/>
        <v>0</v>
      </c>
      <c r="S312" s="119">
        <f t="shared" si="126"/>
        <v>0</v>
      </c>
      <c r="T312" s="119">
        <f t="shared" si="126"/>
        <v>0</v>
      </c>
      <c r="U312" s="119">
        <f t="shared" si="126"/>
        <v>0</v>
      </c>
      <c r="V312" s="119">
        <f t="shared" si="126"/>
        <v>0</v>
      </c>
      <c r="W312" s="119">
        <f t="shared" si="126"/>
        <v>0</v>
      </c>
      <c r="X312" s="119">
        <f t="shared" si="126"/>
        <v>0</v>
      </c>
      <c r="Y312" s="119">
        <f t="shared" si="126"/>
        <v>0</v>
      </c>
      <c r="Z312" s="119">
        <f t="shared" si="126"/>
        <v>0</v>
      </c>
      <c r="AA312" s="119">
        <f t="shared" si="126"/>
        <v>0</v>
      </c>
      <c r="AB312" s="119">
        <f t="shared" si="126"/>
        <v>0</v>
      </c>
      <c r="AC312" s="119">
        <f t="shared" si="126"/>
        <v>0</v>
      </c>
      <c r="AD312" s="119">
        <f t="shared" si="126"/>
        <v>0</v>
      </c>
      <c r="AE312" s="119">
        <f t="shared" si="126"/>
        <v>0</v>
      </c>
      <c r="AF312" s="119">
        <f t="shared" si="126"/>
        <v>0</v>
      </c>
      <c r="AG312" s="119">
        <f t="shared" si="126"/>
        <v>0</v>
      </c>
      <c r="AH312" s="119">
        <f t="shared" si="126"/>
        <v>0</v>
      </c>
      <c r="AI312" s="119">
        <f t="shared" si="126"/>
        <v>0</v>
      </c>
      <c r="AJ312" s="119">
        <f t="shared" si="126"/>
        <v>0</v>
      </c>
      <c r="AK312" s="119">
        <f t="shared" si="126"/>
        <v>0</v>
      </c>
      <c r="AN312" s="133"/>
      <c r="AO312" s="133"/>
      <c r="AP312" s="133"/>
      <c r="AQ312" s="133"/>
      <c r="AR312" s="133"/>
      <c r="AS312" s="133"/>
      <c r="AT312" s="133"/>
      <c r="AU312" s="133"/>
      <c r="AV312" s="133"/>
    </row>
    <row r="313" ht="19.5" customHeight="1" spans="1:48">
      <c r="A313" s="146"/>
      <c r="B313" s="146"/>
      <c r="C313" s="39"/>
      <c r="D313" s="151"/>
      <c r="E313" s="114" t="s">
        <v>47</v>
      </c>
      <c r="F313" s="104">
        <f t="shared" ref="F313:AK313" si="127">IFERROR(I477/F311,0)</f>
        <v>0</v>
      </c>
      <c r="G313" s="104">
        <f t="shared" si="127"/>
        <v>0</v>
      </c>
      <c r="H313" s="104">
        <f t="shared" si="127"/>
        <v>0</v>
      </c>
      <c r="I313" s="104">
        <f t="shared" si="127"/>
        <v>0</v>
      </c>
      <c r="J313" s="104">
        <f t="shared" si="127"/>
        <v>0</v>
      </c>
      <c r="K313" s="104">
        <f t="shared" si="127"/>
        <v>0</v>
      </c>
      <c r="L313" s="104">
        <f t="shared" si="127"/>
        <v>0</v>
      </c>
      <c r="M313" s="104">
        <f t="shared" si="127"/>
        <v>0</v>
      </c>
      <c r="N313" s="104">
        <f t="shared" si="127"/>
        <v>0</v>
      </c>
      <c r="O313" s="104">
        <f t="shared" si="127"/>
        <v>0</v>
      </c>
      <c r="P313" s="104">
        <f t="shared" si="127"/>
        <v>0</v>
      </c>
      <c r="Q313" s="104">
        <f t="shared" si="127"/>
        <v>0</v>
      </c>
      <c r="R313" s="104">
        <f t="shared" si="127"/>
        <v>0</v>
      </c>
      <c r="S313" s="104">
        <f t="shared" si="127"/>
        <v>0</v>
      </c>
      <c r="T313" s="104">
        <f t="shared" si="127"/>
        <v>0</v>
      </c>
      <c r="U313" s="104">
        <f t="shared" si="127"/>
        <v>0</v>
      </c>
      <c r="V313" s="104">
        <f t="shared" si="127"/>
        <v>0</v>
      </c>
      <c r="W313" s="104">
        <f t="shared" si="127"/>
        <v>0</v>
      </c>
      <c r="X313" s="104">
        <f t="shared" si="127"/>
        <v>0</v>
      </c>
      <c r="Y313" s="104">
        <f t="shared" si="127"/>
        <v>0</v>
      </c>
      <c r="Z313" s="104">
        <f t="shared" si="127"/>
        <v>0</v>
      </c>
      <c r="AA313" s="104">
        <f t="shared" si="127"/>
        <v>0</v>
      </c>
      <c r="AB313" s="104">
        <f t="shared" si="127"/>
        <v>0</v>
      </c>
      <c r="AC313" s="104">
        <f t="shared" si="127"/>
        <v>0</v>
      </c>
      <c r="AD313" s="104">
        <f t="shared" si="127"/>
        <v>0</v>
      </c>
      <c r="AE313" s="104">
        <f t="shared" si="127"/>
        <v>0</v>
      </c>
      <c r="AF313" s="104">
        <f t="shared" si="127"/>
        <v>0</v>
      </c>
      <c r="AG313" s="104">
        <f t="shared" si="127"/>
        <v>0</v>
      </c>
      <c r="AH313" s="104">
        <f t="shared" si="127"/>
        <v>0</v>
      </c>
      <c r="AI313" s="104">
        <f t="shared" si="127"/>
        <v>0</v>
      </c>
      <c r="AJ313" s="104">
        <f t="shared" si="127"/>
        <v>0</v>
      </c>
      <c r="AK313" s="104">
        <f t="shared" si="127"/>
        <v>0</v>
      </c>
      <c r="AN313" s="133"/>
      <c r="AO313" s="133"/>
      <c r="AP313" s="133"/>
      <c r="AQ313" s="133"/>
      <c r="AR313" s="133"/>
      <c r="AS313" s="133"/>
      <c r="AT313" s="133"/>
      <c r="AU313" s="133"/>
      <c r="AV313" s="133"/>
    </row>
    <row r="314" customHeight="1" spans="1:48">
      <c r="C314" s="4"/>
      <c r="D314" s="24"/>
      <c r="E314" s="24"/>
      <c r="F314" s="24"/>
      <c r="G314" s="24"/>
      <c r="H314" s="24"/>
      <c r="I314" s="24"/>
      <c r="J314" s="24"/>
      <c r="K314" s="24"/>
      <c r="L314" s="24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  <c r="AA314" s="133"/>
      <c r="AB314" s="133"/>
      <c r="AC314" s="133"/>
      <c r="AD314" s="133"/>
      <c r="AE314" s="133"/>
      <c r="AF314" s="133"/>
      <c r="AG314" s="133"/>
      <c r="AH314" s="133"/>
      <c r="AI314" s="133"/>
      <c r="AJ314" s="133"/>
      <c r="AK314" s="133"/>
      <c r="AL314" s="133"/>
      <c r="AM314" s="133"/>
      <c r="AN314" s="133"/>
      <c r="AO314" s="133"/>
      <c r="AP314" s="133"/>
      <c r="AQ314" s="133"/>
      <c r="AR314" s="133"/>
      <c r="AS314" s="133"/>
      <c r="AT314" s="133"/>
      <c r="AU314" s="133"/>
      <c r="AV314" s="133"/>
    </row>
    <row r="315" customHeight="1" spans="1:48">
      <c r="C315" s="4"/>
      <c r="D315" s="24"/>
      <c r="E315" s="24"/>
      <c r="F315" s="24"/>
      <c r="G315" s="24"/>
      <c r="H315" s="24"/>
      <c r="I315" s="24"/>
      <c r="J315" s="24"/>
      <c r="K315" s="24"/>
      <c r="L315" s="24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  <c r="AA315" s="133"/>
      <c r="AB315" s="133"/>
      <c r="AC315" s="133"/>
      <c r="AD315" s="133"/>
      <c r="AE315" s="133"/>
      <c r="AF315" s="133"/>
      <c r="AG315" s="133"/>
      <c r="AH315" s="133"/>
      <c r="AI315" s="133"/>
      <c r="AJ315" s="133"/>
      <c r="AK315" s="133"/>
      <c r="AL315" s="133"/>
      <c r="AM315" s="133"/>
      <c r="AN315" s="133"/>
      <c r="AO315" s="133"/>
      <c r="AP315" s="133"/>
      <c r="AQ315" s="133"/>
      <c r="AR315" s="133"/>
      <c r="AS315" s="133"/>
      <c r="AT315" s="133"/>
      <c r="AU315" s="133"/>
      <c r="AV315" s="133"/>
    </row>
    <row r="316" hidden="1" customHeight="1" spans="1:48">
      <c r="C316" s="4"/>
      <c r="D316" s="24"/>
      <c r="E316" s="24"/>
      <c r="F316" s="24"/>
      <c r="G316" s="24"/>
      <c r="H316" s="24"/>
      <c r="I316" s="24"/>
      <c r="J316" s="24"/>
      <c r="K316" s="24"/>
      <c r="L316" s="24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  <c r="AA316" s="133"/>
      <c r="AB316" s="133"/>
      <c r="AC316" s="133"/>
      <c r="AD316" s="133"/>
      <c r="AE316" s="133"/>
      <c r="AF316" s="133"/>
      <c r="AG316" s="133"/>
      <c r="AH316" s="133"/>
      <c r="AI316" s="133"/>
      <c r="AJ316" s="133"/>
      <c r="AK316" s="133"/>
      <c r="AL316" s="133"/>
      <c r="AM316" s="133"/>
      <c r="AN316" s="133"/>
      <c r="AO316" s="133"/>
      <c r="AP316" s="133"/>
      <c r="AQ316" s="133"/>
      <c r="AR316" s="133"/>
      <c r="AS316" s="133"/>
      <c r="AT316" s="133"/>
      <c r="AU316" s="133"/>
      <c r="AV316" s="133"/>
    </row>
    <row r="317" ht="19.5" hidden="1" customHeight="1" spans="1:48">
      <c r="A317" s="21"/>
      <c r="B317" s="21"/>
      <c r="C317" s="156" t="s">
        <v>101</v>
      </c>
      <c r="D317" s="4"/>
      <c r="E317" s="4"/>
      <c r="F317" s="4"/>
      <c r="G317" s="4"/>
      <c r="H317" s="4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  <c r="AD317" s="133"/>
      <c r="AE317" s="133"/>
      <c r="AF317" s="133"/>
      <c r="AG317" s="133"/>
      <c r="AH317" s="133"/>
      <c r="AI317" s="133"/>
      <c r="AJ317" s="133"/>
      <c r="AK317" s="133"/>
      <c r="AL317" s="133"/>
      <c r="AM317" s="133"/>
      <c r="AN317" s="133"/>
      <c r="AO317" s="133"/>
      <c r="AP317" s="133"/>
      <c r="AQ317" s="133"/>
      <c r="AR317" s="133"/>
      <c r="AS317" s="133"/>
      <c r="AT317" s="133"/>
      <c r="AU317" s="133"/>
      <c r="AV317" s="133"/>
    </row>
    <row r="318" hidden="1" customHeight="1" spans="1:48">
      <c r="C318" s="4"/>
      <c r="D318" s="4"/>
      <c r="E318" s="4"/>
      <c r="F318" s="4"/>
      <c r="G318" s="4"/>
      <c r="H318" s="4"/>
    </row>
    <row r="319" s="6" customFormat="1" ht="36.15" hidden="1" customHeight="1" spans="1:48">
      <c r="A319" s="157"/>
      <c r="B319" s="158"/>
      <c r="C319" s="159" t="s">
        <v>36</v>
      </c>
      <c r="D319" s="160" t="s">
        <v>102</v>
      </c>
      <c r="E319" s="161" t="s">
        <v>103</v>
      </c>
      <c r="F319" s="162" t="s">
        <v>104</v>
      </c>
      <c r="G319" s="159" t="s">
        <v>105</v>
      </c>
      <c r="H319" s="159" t="s">
        <v>37</v>
      </c>
      <c r="I319" s="159" t="s">
        <v>38</v>
      </c>
      <c r="J319" s="163">
        <v>46174</v>
      </c>
      <c r="K319" s="163">
        <v>46175</v>
      </c>
      <c r="L319" s="163">
        <v>46176</v>
      </c>
      <c r="M319" s="163">
        <v>46177</v>
      </c>
      <c r="N319" s="163">
        <v>46178</v>
      </c>
      <c r="O319" s="163">
        <v>46179</v>
      </c>
      <c r="P319" s="163">
        <v>46180</v>
      </c>
      <c r="Q319" s="163">
        <v>46181</v>
      </c>
      <c r="R319" s="163">
        <v>46182</v>
      </c>
      <c r="S319" s="163">
        <v>46183</v>
      </c>
      <c r="T319" s="163">
        <v>46184</v>
      </c>
      <c r="U319" s="163">
        <v>46185</v>
      </c>
      <c r="V319" s="163">
        <v>46186</v>
      </c>
      <c r="W319" s="163">
        <v>46187</v>
      </c>
      <c r="X319" s="163">
        <v>46188</v>
      </c>
      <c r="Y319" s="163">
        <v>46189</v>
      </c>
      <c r="Z319" s="163">
        <v>46190</v>
      </c>
      <c r="AA319" s="163">
        <v>46191</v>
      </c>
      <c r="AB319" s="163">
        <v>46192</v>
      </c>
      <c r="AC319" s="163">
        <v>46193</v>
      </c>
      <c r="AD319" s="163">
        <v>46194</v>
      </c>
      <c r="AE319" s="163">
        <v>46195</v>
      </c>
      <c r="AF319" s="163">
        <v>46196</v>
      </c>
      <c r="AG319" s="163">
        <v>46197</v>
      </c>
      <c r="AH319" s="163">
        <v>46198</v>
      </c>
      <c r="AI319" s="163">
        <v>46199</v>
      </c>
      <c r="AJ319" s="163">
        <v>46200</v>
      </c>
      <c r="AK319" s="163">
        <v>46201</v>
      </c>
      <c r="AL319" s="163">
        <v>46202</v>
      </c>
      <c r="AM319" s="163">
        <v>46203</v>
      </c>
      <c r="AN319" s="14"/>
      <c r="AO319" s="14"/>
      <c r="AP319" s="14"/>
      <c r="AQ319" s="14"/>
      <c r="AR319" s="14"/>
      <c r="AS319" s="14"/>
      <c r="AT319" s="14"/>
      <c r="AU319" s="14"/>
      <c r="AV319" s="14"/>
    </row>
    <row r="320" s="7" customFormat="1" ht="31.05" hidden="1" customHeight="1" spans="1:48">
      <c r="A320" s="164"/>
      <c r="B320" s="164"/>
      <c r="C320" s="165" t="s">
        <v>51</v>
      </c>
      <c r="D320" s="166" t="s">
        <v>89</v>
      </c>
      <c r="E320" s="166">
        <v>0.2</v>
      </c>
      <c r="F320" s="167" t="e">
        <f>I331/$I$383</f>
        <v>#REF!</v>
      </c>
      <c r="G320" s="168" t="s">
        <v>106</v>
      </c>
      <c r="H320" s="169" t="s">
        <v>107</v>
      </c>
      <c r="I320" s="170">
        <f>SUM(J320:HU320)</f>
        <v>22791</v>
      </c>
      <c r="J320" s="171">
        <v>1130</v>
      </c>
      <c r="K320" s="171">
        <v>684</v>
      </c>
      <c r="L320" s="171">
        <v>912</v>
      </c>
      <c r="M320" s="171">
        <v>912</v>
      </c>
      <c r="N320" s="171">
        <v>684</v>
      </c>
      <c r="O320" s="172">
        <v>912</v>
      </c>
      <c r="P320" s="170">
        <v>798</v>
      </c>
      <c r="Q320" s="170">
        <v>684</v>
      </c>
      <c r="R320" s="170">
        <v>798</v>
      </c>
      <c r="S320" s="170">
        <v>684</v>
      </c>
      <c r="T320" s="170">
        <v>684</v>
      </c>
      <c r="U320" s="170">
        <v>684</v>
      </c>
      <c r="V320" s="170">
        <v>684</v>
      </c>
      <c r="W320" s="170">
        <v>912</v>
      </c>
      <c r="X320" s="170">
        <v>912</v>
      </c>
      <c r="Y320" s="170">
        <v>1140</v>
      </c>
      <c r="Z320" s="170">
        <v>912</v>
      </c>
      <c r="AA320" s="170">
        <v>1369</v>
      </c>
      <c r="AB320" s="170">
        <v>684</v>
      </c>
      <c r="AC320" s="170">
        <v>912</v>
      </c>
      <c r="AD320" s="170">
        <v>570</v>
      </c>
      <c r="AE320" s="170">
        <v>570</v>
      </c>
      <c r="AF320" s="170">
        <v>570</v>
      </c>
      <c r="AG320" s="170">
        <v>570</v>
      </c>
      <c r="AH320" s="170">
        <v>570</v>
      </c>
      <c r="AI320" s="170">
        <v>570</v>
      </c>
      <c r="AJ320" s="170">
        <v>570</v>
      </c>
      <c r="AK320" s="173">
        <v>570</v>
      </c>
      <c r="AL320" s="173">
        <v>570</v>
      </c>
      <c r="AM320" s="173">
        <v>570</v>
      </c>
      <c r="AN320" s="14"/>
      <c r="AO320" s="14"/>
      <c r="AP320" s="14"/>
      <c r="AQ320" s="14"/>
      <c r="AR320" s="14"/>
      <c r="AS320" s="14"/>
      <c r="AT320" s="14"/>
      <c r="AU320" s="14"/>
      <c r="AV320" s="14"/>
    </row>
    <row r="321" s="7" customFormat="1" ht="31.05" hidden="1" customHeight="1" spans="1:48">
      <c r="A321" s="164"/>
      <c r="B321" s="164"/>
      <c r="C321" s="165" t="s">
        <v>51</v>
      </c>
      <c r="D321" s="174"/>
      <c r="E321" s="174"/>
      <c r="F321" s="175"/>
      <c r="G321" s="4"/>
      <c r="H321" s="169" t="s">
        <v>108</v>
      </c>
      <c r="I321" s="176">
        <v>0.7</v>
      </c>
      <c r="J321" s="176">
        <v>0.7</v>
      </c>
      <c r="K321" s="176">
        <v>0.7</v>
      </c>
      <c r="L321" s="176">
        <v>0.7</v>
      </c>
      <c r="M321" s="176">
        <v>0.7</v>
      </c>
      <c r="N321" s="176">
        <v>0.7</v>
      </c>
      <c r="O321" s="176">
        <v>0.7</v>
      </c>
      <c r="P321" s="176">
        <v>0.7</v>
      </c>
      <c r="Q321" s="176">
        <v>0.7</v>
      </c>
      <c r="R321" s="176">
        <v>0.7</v>
      </c>
      <c r="S321" s="176">
        <v>0.7</v>
      </c>
      <c r="T321" s="176">
        <v>0.7</v>
      </c>
      <c r="U321" s="176">
        <v>0.7</v>
      </c>
      <c r="V321" s="176">
        <v>0.7</v>
      </c>
      <c r="W321" s="176">
        <v>0.7</v>
      </c>
      <c r="X321" s="176">
        <v>0.7</v>
      </c>
      <c r="Y321" s="176">
        <v>0.7</v>
      </c>
      <c r="Z321" s="176">
        <v>0.7</v>
      </c>
      <c r="AA321" s="176">
        <v>0.7</v>
      </c>
      <c r="AB321" s="176">
        <v>0.7</v>
      </c>
      <c r="AC321" s="176">
        <v>0.7</v>
      </c>
      <c r="AD321" s="176">
        <v>0.7</v>
      </c>
      <c r="AE321" s="176">
        <v>0.7</v>
      </c>
      <c r="AF321" s="176">
        <v>0.7</v>
      </c>
      <c r="AG321" s="176">
        <v>0.7</v>
      </c>
      <c r="AH321" s="176">
        <v>0.7</v>
      </c>
      <c r="AI321" s="176">
        <v>0.7</v>
      </c>
      <c r="AJ321" s="176">
        <v>0.7</v>
      </c>
      <c r="AK321" s="177">
        <v>0.7</v>
      </c>
      <c r="AL321" s="177">
        <v>0.7</v>
      </c>
      <c r="AM321" s="177">
        <v>0.7</v>
      </c>
      <c r="AN321" s="14"/>
      <c r="AO321" s="14"/>
      <c r="AP321" s="14"/>
      <c r="AQ321" s="14"/>
      <c r="AR321" s="14"/>
      <c r="AS321" s="14"/>
      <c r="AT321" s="14"/>
      <c r="AU321" s="14"/>
      <c r="AV321" s="14"/>
    </row>
    <row r="322" s="7" customFormat="1" ht="31.05" hidden="1" customHeight="1" spans="1:48">
      <c r="A322" s="164"/>
      <c r="B322" s="164"/>
      <c r="C322" s="165" t="s">
        <v>51</v>
      </c>
      <c r="D322" s="174"/>
      <c r="E322" s="174"/>
      <c r="F322" s="175"/>
      <c r="G322" s="4"/>
      <c r="H322" s="135" t="s">
        <v>109</v>
      </c>
      <c r="I322" s="170" t="e">
        <f>SUM(J322:HU322)</f>
        <v>#REF!</v>
      </c>
      <c r="J322" s="170" t="e">
        <f>SUMIFS(#REF!,#REF!,$C320&amp;J$319&amp;$D$320&amp;$G$320)</f>
        <v>#REF!</v>
      </c>
      <c r="K322" s="170" t="e">
        <f>SUMIFS(#REF!,#REF!,$C320&amp;K$319&amp;$D$320&amp;$G$320)</f>
        <v>#REF!</v>
      </c>
      <c r="L322" s="170" t="e">
        <f>SUMIFS(#REF!,#REF!,$C320&amp;L$319&amp;$D$320&amp;$G$320)</f>
        <v>#REF!</v>
      </c>
      <c r="M322" s="170" t="e">
        <f>SUMIFS(#REF!,#REF!,$C320&amp;M$319&amp;$D$320&amp;$G$320)</f>
        <v>#REF!</v>
      </c>
      <c r="N322" s="170" t="e">
        <f>SUMIFS(#REF!,#REF!,$C320&amp;N$319&amp;$D$320&amp;$G$320)</f>
        <v>#REF!</v>
      </c>
      <c r="O322" s="170" t="e">
        <f>SUMIFS(#REF!,#REF!,$C320&amp;O$319&amp;$D$320&amp;$G$320)</f>
        <v>#REF!</v>
      </c>
      <c r="P322" s="170" t="e">
        <f>SUMIFS(#REF!,#REF!,$C320&amp;P$319&amp;$D$320&amp;$G$320)</f>
        <v>#REF!</v>
      </c>
      <c r="Q322" s="170" t="e">
        <f>SUMIFS(#REF!,#REF!,$C320&amp;Q$319&amp;$D$320&amp;$G$320)</f>
        <v>#REF!</v>
      </c>
      <c r="R322" s="170" t="e">
        <f>SUMIFS(#REF!,#REF!,$C320&amp;R$319&amp;$D$320&amp;$G$320)</f>
        <v>#REF!</v>
      </c>
      <c r="S322" s="170" t="e">
        <f>SUMIFS(#REF!,#REF!,$C320&amp;S$319&amp;$D$320&amp;$G$320)</f>
        <v>#REF!</v>
      </c>
      <c r="T322" s="170" t="e">
        <f>SUMIFS(#REF!,#REF!,$C320&amp;T$319&amp;$D$320&amp;$G$320)</f>
        <v>#REF!</v>
      </c>
      <c r="U322" s="170" t="e">
        <f>SUMIFS(#REF!,#REF!,$C320&amp;U$319&amp;$D$320&amp;$G$320)</f>
        <v>#REF!</v>
      </c>
      <c r="V322" s="170" t="e">
        <f>SUMIFS(#REF!,#REF!,$C320&amp;V$319&amp;$D$320&amp;$G$320)</f>
        <v>#REF!</v>
      </c>
      <c r="W322" s="170" t="e">
        <f>SUMIFS(#REF!,#REF!,$C320&amp;W$319&amp;$D$320&amp;$G$320)</f>
        <v>#REF!</v>
      </c>
      <c r="X322" s="170" t="e">
        <f>SUMIFS(#REF!,#REF!,$C320&amp;X$319&amp;$D$320&amp;$G$320)</f>
        <v>#REF!</v>
      </c>
      <c r="Y322" s="170" t="e">
        <f>SUMIFS(#REF!,#REF!,$C320&amp;Y$319&amp;$D$320&amp;$G$320)</f>
        <v>#REF!</v>
      </c>
      <c r="Z322" s="170" t="e">
        <f>SUMIFS(#REF!,#REF!,$C320&amp;Z$319&amp;$D$320&amp;$G$320)</f>
        <v>#REF!</v>
      </c>
      <c r="AA322" s="170" t="e">
        <f>SUMIFS(#REF!,#REF!,$C320&amp;AA$319&amp;$D$320&amp;$G$320)</f>
        <v>#REF!</v>
      </c>
      <c r="AB322" s="170" t="e">
        <f>SUMIFS(#REF!,#REF!,$C320&amp;AB$319&amp;$D$320&amp;$G$320)</f>
        <v>#REF!</v>
      </c>
      <c r="AC322" s="170" t="e">
        <f>SUMIFS(#REF!,#REF!,$C320&amp;AC$319&amp;$D$320&amp;$G$320)</f>
        <v>#REF!</v>
      </c>
      <c r="AD322" s="170" t="e">
        <f>SUMIFS(#REF!,#REF!,$C320&amp;AD$319&amp;$D$320&amp;$G$320)</f>
        <v>#REF!</v>
      </c>
      <c r="AE322" s="170" t="e">
        <f>SUMIFS(#REF!,#REF!,$C320&amp;AE$319&amp;$D$320&amp;$G$320)</f>
        <v>#REF!</v>
      </c>
      <c r="AF322" s="170" t="e">
        <f>SUMIFS(#REF!,#REF!,$C320&amp;AF$319&amp;$D$320&amp;$G$320)</f>
        <v>#REF!</v>
      </c>
      <c r="AG322" s="170" t="e">
        <f>SUMIFS(#REF!,#REF!,$C320&amp;AG$319&amp;$D$320&amp;$G$320)</f>
        <v>#REF!</v>
      </c>
      <c r="AH322" s="170" t="e">
        <f>SUMIFS(#REF!,#REF!,$C320&amp;AH$319&amp;$D$320&amp;$G$320)</f>
        <v>#REF!</v>
      </c>
      <c r="AI322" s="170" t="e">
        <f>SUMIFS(#REF!,#REF!,$C320&amp;AI$319&amp;$D$320&amp;$G$320)</f>
        <v>#REF!</v>
      </c>
      <c r="AJ322" s="170" t="e">
        <f>SUMIFS(#REF!,#REF!,$C320&amp;AJ$319&amp;$D$320&amp;$G$320)</f>
        <v>#REF!</v>
      </c>
      <c r="AK322" s="170" t="e">
        <f>SUMIFS(#REF!,#REF!,$C320&amp;AK$319&amp;$D$320&amp;$G$320)</f>
        <v>#REF!</v>
      </c>
      <c r="AL322" s="170" t="e">
        <f>SUMIFS(#REF!,#REF!,$C320&amp;AL$319&amp;$D$320&amp;$G$320)</f>
        <v>#REF!</v>
      </c>
      <c r="AM322" s="170" t="e">
        <f>SUMIFS(#REF!,#REF!,$C320&amp;AM$319&amp;$D$320&amp;$G$320)</f>
        <v>#REF!</v>
      </c>
      <c r="AN322" s="14"/>
      <c r="AO322" s="14"/>
      <c r="AP322" s="14"/>
      <c r="AQ322" s="14"/>
      <c r="AR322" s="14"/>
      <c r="AS322" s="14"/>
      <c r="AT322" s="14"/>
      <c r="AU322" s="14"/>
      <c r="AV322" s="14"/>
    </row>
    <row r="323" s="8" customFormat="1" ht="31.05" hidden="1" customHeight="1" spans="1:48">
      <c r="A323" s="19"/>
      <c r="B323" s="19"/>
      <c r="C323" s="178" t="s">
        <v>51</v>
      </c>
      <c r="D323" s="179"/>
      <c r="E323" s="179"/>
      <c r="F323" s="180"/>
      <c r="G323" s="69"/>
      <c r="H323" s="142" t="s">
        <v>110</v>
      </c>
      <c r="I323" s="177">
        <f t="shared" ref="I323:AM323" si="128">IFERROR(I322/I$331,0)</f>
        <v>0</v>
      </c>
      <c r="J323" s="177">
        <f t="shared" si="128"/>
        <v>0</v>
      </c>
      <c r="K323" s="177">
        <f t="shared" si="128"/>
        <v>0</v>
      </c>
      <c r="L323" s="177">
        <f t="shared" si="128"/>
        <v>0</v>
      </c>
      <c r="M323" s="177">
        <f t="shared" si="128"/>
        <v>0</v>
      </c>
      <c r="N323" s="177">
        <f t="shared" si="128"/>
        <v>0</v>
      </c>
      <c r="O323" s="177">
        <f t="shared" si="128"/>
        <v>0</v>
      </c>
      <c r="P323" s="177">
        <f t="shared" si="128"/>
        <v>0</v>
      </c>
      <c r="Q323" s="177">
        <f t="shared" si="128"/>
        <v>0</v>
      </c>
      <c r="R323" s="177">
        <f t="shared" si="128"/>
        <v>0</v>
      </c>
      <c r="S323" s="177">
        <f t="shared" si="128"/>
        <v>0</v>
      </c>
      <c r="T323" s="177">
        <f t="shared" si="128"/>
        <v>0</v>
      </c>
      <c r="U323" s="177">
        <f t="shared" si="128"/>
        <v>0</v>
      </c>
      <c r="V323" s="177">
        <f t="shared" si="128"/>
        <v>0</v>
      </c>
      <c r="W323" s="177">
        <f t="shared" si="128"/>
        <v>0</v>
      </c>
      <c r="X323" s="177">
        <f t="shared" si="128"/>
        <v>0</v>
      </c>
      <c r="Y323" s="177">
        <f t="shared" si="128"/>
        <v>0</v>
      </c>
      <c r="Z323" s="177">
        <f t="shared" si="128"/>
        <v>0</v>
      </c>
      <c r="AA323" s="177">
        <f t="shared" si="128"/>
        <v>0</v>
      </c>
      <c r="AB323" s="177">
        <f t="shared" si="128"/>
        <v>0</v>
      </c>
      <c r="AC323" s="177">
        <f t="shared" si="128"/>
        <v>0</v>
      </c>
      <c r="AD323" s="177">
        <f t="shared" si="128"/>
        <v>0</v>
      </c>
      <c r="AE323" s="177">
        <f t="shared" si="128"/>
        <v>0</v>
      </c>
      <c r="AF323" s="177">
        <f t="shared" si="128"/>
        <v>0</v>
      </c>
      <c r="AG323" s="177">
        <f t="shared" si="128"/>
        <v>0</v>
      </c>
      <c r="AH323" s="177">
        <f t="shared" si="128"/>
        <v>0</v>
      </c>
      <c r="AI323" s="177">
        <f t="shared" si="128"/>
        <v>0</v>
      </c>
      <c r="AJ323" s="177">
        <f t="shared" si="128"/>
        <v>0</v>
      </c>
      <c r="AK323" s="177">
        <f t="shared" si="128"/>
        <v>0</v>
      </c>
      <c r="AL323" s="177">
        <f t="shared" si="128"/>
        <v>0</v>
      </c>
      <c r="AM323" s="177">
        <f t="shared" si="128"/>
        <v>0</v>
      </c>
      <c r="AN323" s="18"/>
      <c r="AO323" s="18"/>
      <c r="AP323" s="18"/>
      <c r="AQ323" s="18"/>
      <c r="AR323" s="18"/>
      <c r="AS323" s="18"/>
      <c r="AT323" s="18"/>
      <c r="AU323" s="18"/>
      <c r="AV323" s="18"/>
    </row>
    <row r="324" s="8" customFormat="1" ht="31.05" hidden="1" customHeight="1" spans="1:48">
      <c r="A324" s="19"/>
      <c r="B324" s="19"/>
      <c r="C324" s="178" t="s">
        <v>51</v>
      </c>
      <c r="D324" s="179"/>
      <c r="E324" s="179"/>
      <c r="F324" s="180"/>
      <c r="G324" s="181"/>
      <c r="H324" s="142" t="s">
        <v>111</v>
      </c>
      <c r="I324" s="176">
        <f t="shared" ref="I324:AM324" si="129">IFERROR(I322/I320,0)</f>
        <v>0</v>
      </c>
      <c r="J324" s="176">
        <f t="shared" si="129"/>
        <v>0</v>
      </c>
      <c r="K324" s="176">
        <f t="shared" si="129"/>
        <v>0</v>
      </c>
      <c r="L324" s="176">
        <f t="shared" si="129"/>
        <v>0</v>
      </c>
      <c r="M324" s="176">
        <f t="shared" si="129"/>
        <v>0</v>
      </c>
      <c r="N324" s="176">
        <f t="shared" si="129"/>
        <v>0</v>
      </c>
      <c r="O324" s="176">
        <f t="shared" si="129"/>
        <v>0</v>
      </c>
      <c r="P324" s="176">
        <f t="shared" si="129"/>
        <v>0</v>
      </c>
      <c r="Q324" s="176">
        <f t="shared" si="129"/>
        <v>0</v>
      </c>
      <c r="R324" s="176">
        <f t="shared" si="129"/>
        <v>0</v>
      </c>
      <c r="S324" s="176">
        <f t="shared" si="129"/>
        <v>0</v>
      </c>
      <c r="T324" s="176">
        <f t="shared" si="129"/>
        <v>0</v>
      </c>
      <c r="U324" s="176">
        <f t="shared" si="129"/>
        <v>0</v>
      </c>
      <c r="V324" s="176">
        <f t="shared" si="129"/>
        <v>0</v>
      </c>
      <c r="W324" s="176">
        <f t="shared" si="129"/>
        <v>0</v>
      </c>
      <c r="X324" s="176">
        <f t="shared" si="129"/>
        <v>0</v>
      </c>
      <c r="Y324" s="176">
        <f t="shared" si="129"/>
        <v>0</v>
      </c>
      <c r="Z324" s="176">
        <f t="shared" si="129"/>
        <v>0</v>
      </c>
      <c r="AA324" s="176">
        <f t="shared" si="129"/>
        <v>0</v>
      </c>
      <c r="AB324" s="176">
        <f t="shared" si="129"/>
        <v>0</v>
      </c>
      <c r="AC324" s="176">
        <f t="shared" si="129"/>
        <v>0</v>
      </c>
      <c r="AD324" s="176">
        <f t="shared" si="129"/>
        <v>0</v>
      </c>
      <c r="AE324" s="176">
        <f t="shared" si="129"/>
        <v>0</v>
      </c>
      <c r="AF324" s="176">
        <f t="shared" si="129"/>
        <v>0</v>
      </c>
      <c r="AG324" s="176">
        <f t="shared" si="129"/>
        <v>0</v>
      </c>
      <c r="AH324" s="176">
        <f t="shared" si="129"/>
        <v>0</v>
      </c>
      <c r="AI324" s="176">
        <f t="shared" si="129"/>
        <v>0</v>
      </c>
      <c r="AJ324" s="176">
        <f t="shared" si="129"/>
        <v>0</v>
      </c>
      <c r="AK324" s="176">
        <f t="shared" si="129"/>
        <v>0</v>
      </c>
      <c r="AL324" s="176">
        <f t="shared" si="129"/>
        <v>0</v>
      </c>
      <c r="AM324" s="176">
        <f t="shared" si="129"/>
        <v>0</v>
      </c>
      <c r="AN324" s="18"/>
      <c r="AO324" s="18"/>
      <c r="AP324" s="18"/>
      <c r="AQ324" s="18"/>
      <c r="AR324" s="18"/>
      <c r="AS324" s="18"/>
      <c r="AT324" s="18"/>
      <c r="AU324" s="18"/>
      <c r="AV324" s="18"/>
    </row>
    <row r="325" s="7" customFormat="1" ht="31.05" hidden="1" customHeight="1" spans="1:48">
      <c r="A325" s="164"/>
      <c r="B325" s="164"/>
      <c r="C325" s="165" t="s">
        <v>51</v>
      </c>
      <c r="D325" s="174"/>
      <c r="E325" s="174"/>
      <c r="F325" s="175"/>
      <c r="G325" s="168" t="s">
        <v>112</v>
      </c>
      <c r="H325" s="169" t="s">
        <v>107</v>
      </c>
      <c r="I325" s="170">
        <f>SUM(J325:HU325)</f>
        <v>9770</v>
      </c>
      <c r="J325" s="170">
        <v>489</v>
      </c>
      <c r="K325" s="170">
        <v>293</v>
      </c>
      <c r="L325" s="170">
        <v>391</v>
      </c>
      <c r="M325" s="170">
        <v>391</v>
      </c>
      <c r="N325" s="170">
        <v>293</v>
      </c>
      <c r="O325" s="170">
        <v>391</v>
      </c>
      <c r="P325" s="170">
        <v>342</v>
      </c>
      <c r="Q325" s="170">
        <v>293</v>
      </c>
      <c r="R325" s="170">
        <v>342</v>
      </c>
      <c r="S325" s="170">
        <v>293</v>
      </c>
      <c r="T325" s="170">
        <v>293</v>
      </c>
      <c r="U325" s="170">
        <v>293</v>
      </c>
      <c r="V325" s="170">
        <v>293</v>
      </c>
      <c r="W325" s="170">
        <v>391</v>
      </c>
      <c r="X325" s="170">
        <v>391</v>
      </c>
      <c r="Y325" s="170">
        <v>489</v>
      </c>
      <c r="Z325" s="170">
        <v>391</v>
      </c>
      <c r="AA325" s="170">
        <v>587</v>
      </c>
      <c r="AB325" s="170">
        <v>293</v>
      </c>
      <c r="AC325" s="170">
        <v>391</v>
      </c>
      <c r="AD325" s="170">
        <v>244</v>
      </c>
      <c r="AE325" s="170">
        <v>244</v>
      </c>
      <c r="AF325" s="170">
        <v>244</v>
      </c>
      <c r="AG325" s="170">
        <v>244</v>
      </c>
      <c r="AH325" s="170">
        <v>244</v>
      </c>
      <c r="AI325" s="170">
        <v>244</v>
      </c>
      <c r="AJ325" s="170">
        <v>244</v>
      </c>
      <c r="AK325" s="173">
        <v>244</v>
      </c>
      <c r="AL325" s="173">
        <v>244</v>
      </c>
      <c r="AM325" s="173">
        <v>244</v>
      </c>
      <c r="AN325" s="14"/>
      <c r="AO325" s="14"/>
      <c r="AP325" s="14"/>
      <c r="AQ325" s="14"/>
      <c r="AR325" s="14"/>
      <c r="AS325" s="14"/>
      <c r="AT325" s="14"/>
      <c r="AU325" s="14"/>
      <c r="AV325" s="14"/>
    </row>
    <row r="326" s="7" customFormat="1" ht="31.05" hidden="1" customHeight="1" spans="1:48">
      <c r="A326" s="164"/>
      <c r="B326" s="164"/>
      <c r="C326" s="165" t="s">
        <v>51</v>
      </c>
      <c r="D326" s="174"/>
      <c r="E326" s="174"/>
      <c r="F326" s="175"/>
      <c r="G326" s="4"/>
      <c r="H326" s="169" t="s">
        <v>108</v>
      </c>
      <c r="I326" s="176">
        <v>0.3</v>
      </c>
      <c r="J326" s="176">
        <v>0.3</v>
      </c>
      <c r="K326" s="176">
        <v>0.3</v>
      </c>
      <c r="L326" s="176">
        <v>0.3</v>
      </c>
      <c r="M326" s="176">
        <v>0.3</v>
      </c>
      <c r="N326" s="176">
        <v>0.3</v>
      </c>
      <c r="O326" s="176">
        <v>0.3</v>
      </c>
      <c r="P326" s="176">
        <v>0.3</v>
      </c>
      <c r="Q326" s="176">
        <v>0.3</v>
      </c>
      <c r="R326" s="176">
        <v>0.3</v>
      </c>
      <c r="S326" s="176">
        <v>0.3</v>
      </c>
      <c r="T326" s="176">
        <v>0.3</v>
      </c>
      <c r="U326" s="176">
        <v>0.3</v>
      </c>
      <c r="V326" s="176">
        <v>0.3</v>
      </c>
      <c r="W326" s="176">
        <v>0.3</v>
      </c>
      <c r="X326" s="176">
        <v>0.3</v>
      </c>
      <c r="Y326" s="176">
        <v>0.3</v>
      </c>
      <c r="Z326" s="176">
        <v>0.3</v>
      </c>
      <c r="AA326" s="176">
        <v>0.3</v>
      </c>
      <c r="AB326" s="176">
        <v>0.3</v>
      </c>
      <c r="AC326" s="176">
        <v>0.3</v>
      </c>
      <c r="AD326" s="176">
        <v>0.3</v>
      </c>
      <c r="AE326" s="176">
        <v>0.3</v>
      </c>
      <c r="AF326" s="176">
        <v>0.3</v>
      </c>
      <c r="AG326" s="176">
        <v>0.3</v>
      </c>
      <c r="AH326" s="176">
        <v>0.3</v>
      </c>
      <c r="AI326" s="176">
        <v>0.3</v>
      </c>
      <c r="AJ326" s="176">
        <v>0.3</v>
      </c>
      <c r="AK326" s="177">
        <v>0.3</v>
      </c>
      <c r="AL326" s="177">
        <v>0.3</v>
      </c>
      <c r="AM326" s="177">
        <v>0.3</v>
      </c>
      <c r="AN326" s="14"/>
      <c r="AO326" s="14"/>
      <c r="AP326" s="14"/>
      <c r="AQ326" s="14"/>
      <c r="AR326" s="14"/>
      <c r="AS326" s="14"/>
      <c r="AT326" s="14"/>
      <c r="AU326" s="14"/>
      <c r="AV326" s="14"/>
    </row>
    <row r="327" s="7" customFormat="1" ht="31.05" hidden="1" customHeight="1" spans="1:48">
      <c r="A327" s="164"/>
      <c r="B327" s="164"/>
      <c r="C327" s="165" t="s">
        <v>51</v>
      </c>
      <c r="D327" s="174"/>
      <c r="E327" s="174"/>
      <c r="F327" s="175"/>
      <c r="G327" s="4"/>
      <c r="H327" s="135" t="s">
        <v>109</v>
      </c>
      <c r="I327" s="170" t="e">
        <f>SUM(J327:HU327)</f>
        <v>#REF!</v>
      </c>
      <c r="J327" s="170" t="e">
        <f>SUMIFS(#REF!,#REF!,$C325&amp;J$319&amp;$D$320&amp;$G$325)</f>
        <v>#REF!</v>
      </c>
      <c r="K327" s="170" t="e">
        <f>SUMIFS(#REF!,#REF!,$C325&amp;K$319&amp;$D$320&amp;$G$325)</f>
        <v>#REF!</v>
      </c>
      <c r="L327" s="170" t="e">
        <f>SUMIFS(#REF!,#REF!,$C325&amp;L$319&amp;$D$320&amp;$G$325)</f>
        <v>#REF!</v>
      </c>
      <c r="M327" s="170" t="e">
        <f>SUMIFS(#REF!,#REF!,$C325&amp;M$319&amp;$D$320&amp;$G$325)</f>
        <v>#REF!</v>
      </c>
      <c r="N327" s="170" t="e">
        <f>SUMIFS(#REF!,#REF!,$C325&amp;N$319&amp;$D$320&amp;$G$325)</f>
        <v>#REF!</v>
      </c>
      <c r="O327" s="170" t="e">
        <f>SUMIFS(#REF!,#REF!,$C325&amp;O$319&amp;$D$320&amp;$G$325)</f>
        <v>#REF!</v>
      </c>
      <c r="P327" s="170" t="e">
        <f>SUMIFS(#REF!,#REF!,$C325&amp;P$319&amp;$D$320&amp;$G$325)</f>
        <v>#REF!</v>
      </c>
      <c r="Q327" s="170" t="e">
        <f>SUMIFS(#REF!,#REF!,$C325&amp;Q$319&amp;$D$320&amp;$G$325)</f>
        <v>#REF!</v>
      </c>
      <c r="R327" s="170" t="e">
        <f>SUMIFS(#REF!,#REF!,$C325&amp;R$319&amp;$D$320&amp;$G$325)</f>
        <v>#REF!</v>
      </c>
      <c r="S327" s="170" t="e">
        <f>SUMIFS(#REF!,#REF!,$C325&amp;S$319&amp;$D$320&amp;$G$325)</f>
        <v>#REF!</v>
      </c>
      <c r="T327" s="170" t="e">
        <f>SUMIFS(#REF!,#REF!,$C325&amp;T$319&amp;$D$320&amp;$G$325)</f>
        <v>#REF!</v>
      </c>
      <c r="U327" s="170" t="e">
        <f>SUMIFS(#REF!,#REF!,$C325&amp;U$319&amp;$D$320&amp;$G$325)</f>
        <v>#REF!</v>
      </c>
      <c r="V327" s="170" t="e">
        <f>SUMIFS(#REF!,#REF!,$C325&amp;V$319&amp;$D$320&amp;$G$325)</f>
        <v>#REF!</v>
      </c>
      <c r="W327" s="170" t="e">
        <f>SUMIFS(#REF!,#REF!,$C325&amp;W$319&amp;$D$320&amp;$G$325)</f>
        <v>#REF!</v>
      </c>
      <c r="X327" s="170" t="e">
        <f>SUMIFS(#REF!,#REF!,$C325&amp;X$319&amp;$D$320&amp;$G$325)</f>
        <v>#REF!</v>
      </c>
      <c r="Y327" s="170" t="e">
        <f>SUMIFS(#REF!,#REF!,$C325&amp;Y$319&amp;$D$320&amp;$G$325)</f>
        <v>#REF!</v>
      </c>
      <c r="Z327" s="170" t="e">
        <f>SUMIFS(#REF!,#REF!,$C325&amp;Z$319&amp;$D$320&amp;$G$325)</f>
        <v>#REF!</v>
      </c>
      <c r="AA327" s="170" t="e">
        <f>SUMIFS(#REF!,#REF!,$C325&amp;AA$319&amp;$D$320&amp;$G$325)</f>
        <v>#REF!</v>
      </c>
      <c r="AB327" s="170" t="e">
        <f>SUMIFS(#REF!,#REF!,$C325&amp;AB$319&amp;$D$320&amp;$G$325)</f>
        <v>#REF!</v>
      </c>
      <c r="AC327" s="170" t="e">
        <f>SUMIFS(#REF!,#REF!,$C325&amp;AC$319&amp;$D$320&amp;$G$325)</f>
        <v>#REF!</v>
      </c>
      <c r="AD327" s="170" t="e">
        <f>SUMIFS(#REF!,#REF!,$C325&amp;AD$319&amp;$D$320&amp;$G$325)</f>
        <v>#REF!</v>
      </c>
      <c r="AE327" s="170" t="e">
        <f>SUMIFS(#REF!,#REF!,$C325&amp;AE$319&amp;$D$320&amp;$G$325)</f>
        <v>#REF!</v>
      </c>
      <c r="AF327" s="170" t="e">
        <f>SUMIFS(#REF!,#REF!,$C325&amp;AF$319&amp;$D$320&amp;$G$325)</f>
        <v>#REF!</v>
      </c>
      <c r="AG327" s="170" t="e">
        <f>SUMIFS(#REF!,#REF!,$C325&amp;AG$319&amp;$D$320&amp;$G$325)</f>
        <v>#REF!</v>
      </c>
      <c r="AH327" s="170" t="e">
        <f>SUMIFS(#REF!,#REF!,$C325&amp;AH$319&amp;$D$320&amp;$G$325)</f>
        <v>#REF!</v>
      </c>
      <c r="AI327" s="170" t="e">
        <f>SUMIFS(#REF!,#REF!,$C325&amp;AI$319&amp;$D$320&amp;$G$325)</f>
        <v>#REF!</v>
      </c>
      <c r="AJ327" s="170" t="e">
        <f>SUMIFS(#REF!,#REF!,$C325&amp;AJ$319&amp;$D$320&amp;$G$325)</f>
        <v>#REF!</v>
      </c>
      <c r="AK327" s="170" t="e">
        <f>SUMIFS(#REF!,#REF!,$C325&amp;AK$319&amp;$D$320&amp;$G$325)</f>
        <v>#REF!</v>
      </c>
      <c r="AL327" s="170" t="e">
        <f>SUMIFS(#REF!,#REF!,$C325&amp;AL$319&amp;$D$320&amp;$G$325)</f>
        <v>#REF!</v>
      </c>
      <c r="AM327" s="170" t="e">
        <f>SUMIFS(#REF!,#REF!,$C325&amp;AM$319&amp;$D$320&amp;$G$325)</f>
        <v>#REF!</v>
      </c>
      <c r="AN327" s="14"/>
      <c r="AO327" s="14"/>
      <c r="AP327" s="14"/>
      <c r="AQ327" s="14"/>
      <c r="AR327" s="14"/>
      <c r="AS327" s="14"/>
      <c r="AT327" s="14"/>
      <c r="AU327" s="14"/>
      <c r="AV327" s="14"/>
    </row>
    <row r="328" s="8" customFormat="1" ht="31.05" hidden="1" customHeight="1" spans="1:48">
      <c r="A328" s="19"/>
      <c r="B328" s="19"/>
      <c r="C328" s="178" t="s">
        <v>51</v>
      </c>
      <c r="D328" s="179"/>
      <c r="E328" s="179"/>
      <c r="F328" s="180"/>
      <c r="G328" s="69"/>
      <c r="H328" s="142" t="s">
        <v>110</v>
      </c>
      <c r="I328" s="177">
        <f t="shared" ref="I328:AM328" si="130">IFERROR(I327/I$331,0)</f>
        <v>0</v>
      </c>
      <c r="J328" s="177">
        <f t="shared" si="130"/>
        <v>0</v>
      </c>
      <c r="K328" s="177">
        <f t="shared" si="130"/>
        <v>0</v>
      </c>
      <c r="L328" s="177">
        <f t="shared" si="130"/>
        <v>0</v>
      </c>
      <c r="M328" s="177">
        <f t="shared" si="130"/>
        <v>0</v>
      </c>
      <c r="N328" s="177">
        <f t="shared" si="130"/>
        <v>0</v>
      </c>
      <c r="O328" s="177">
        <f t="shared" si="130"/>
        <v>0</v>
      </c>
      <c r="P328" s="177">
        <f t="shared" si="130"/>
        <v>0</v>
      </c>
      <c r="Q328" s="177">
        <f t="shared" si="130"/>
        <v>0</v>
      </c>
      <c r="R328" s="177">
        <f t="shared" si="130"/>
        <v>0</v>
      </c>
      <c r="S328" s="177">
        <f t="shared" si="130"/>
        <v>0</v>
      </c>
      <c r="T328" s="177">
        <f t="shared" si="130"/>
        <v>0</v>
      </c>
      <c r="U328" s="177">
        <f t="shared" si="130"/>
        <v>0</v>
      </c>
      <c r="V328" s="177">
        <f t="shared" si="130"/>
        <v>0</v>
      </c>
      <c r="W328" s="177">
        <f t="shared" si="130"/>
        <v>0</v>
      </c>
      <c r="X328" s="177">
        <f t="shared" si="130"/>
        <v>0</v>
      </c>
      <c r="Y328" s="177">
        <f t="shared" si="130"/>
        <v>0</v>
      </c>
      <c r="Z328" s="177">
        <f t="shared" si="130"/>
        <v>0</v>
      </c>
      <c r="AA328" s="177">
        <f t="shared" si="130"/>
        <v>0</v>
      </c>
      <c r="AB328" s="177">
        <f t="shared" si="130"/>
        <v>0</v>
      </c>
      <c r="AC328" s="177">
        <f t="shared" si="130"/>
        <v>0</v>
      </c>
      <c r="AD328" s="177">
        <f t="shared" si="130"/>
        <v>0</v>
      </c>
      <c r="AE328" s="177">
        <f t="shared" si="130"/>
        <v>0</v>
      </c>
      <c r="AF328" s="177">
        <f t="shared" si="130"/>
        <v>0</v>
      </c>
      <c r="AG328" s="177">
        <f t="shared" si="130"/>
        <v>0</v>
      </c>
      <c r="AH328" s="177">
        <f t="shared" si="130"/>
        <v>0</v>
      </c>
      <c r="AI328" s="177">
        <f t="shared" si="130"/>
        <v>0</v>
      </c>
      <c r="AJ328" s="177">
        <f t="shared" si="130"/>
        <v>0</v>
      </c>
      <c r="AK328" s="177">
        <f t="shared" si="130"/>
        <v>0</v>
      </c>
      <c r="AL328" s="177">
        <f t="shared" si="130"/>
        <v>0</v>
      </c>
      <c r="AM328" s="177">
        <f t="shared" si="130"/>
        <v>0</v>
      </c>
      <c r="AN328" s="18"/>
      <c r="AO328" s="18"/>
      <c r="AP328" s="18"/>
      <c r="AQ328" s="18"/>
      <c r="AR328" s="18"/>
      <c r="AS328" s="18"/>
      <c r="AT328" s="18"/>
      <c r="AU328" s="18"/>
      <c r="AV328" s="18"/>
    </row>
    <row r="329" s="8" customFormat="1" ht="31.05" hidden="1" customHeight="1" spans="1:48">
      <c r="A329" s="19"/>
      <c r="B329" s="19"/>
      <c r="C329" s="178" t="s">
        <v>51</v>
      </c>
      <c r="D329" s="179"/>
      <c r="E329" s="179"/>
      <c r="F329" s="180"/>
      <c r="G329" s="181"/>
      <c r="H329" s="142" t="s">
        <v>111</v>
      </c>
      <c r="I329" s="176">
        <f t="shared" ref="I329:AM329" si="131">IFERROR(I327/I325,0)</f>
        <v>0</v>
      </c>
      <c r="J329" s="176">
        <f t="shared" si="131"/>
        <v>0</v>
      </c>
      <c r="K329" s="176">
        <f t="shared" si="131"/>
        <v>0</v>
      </c>
      <c r="L329" s="176">
        <f t="shared" si="131"/>
        <v>0</v>
      </c>
      <c r="M329" s="176">
        <f t="shared" si="131"/>
        <v>0</v>
      </c>
      <c r="N329" s="176">
        <f t="shared" si="131"/>
        <v>0</v>
      </c>
      <c r="O329" s="176">
        <f t="shared" si="131"/>
        <v>0</v>
      </c>
      <c r="P329" s="176">
        <f t="shared" si="131"/>
        <v>0</v>
      </c>
      <c r="Q329" s="176">
        <f t="shared" si="131"/>
        <v>0</v>
      </c>
      <c r="R329" s="176">
        <f t="shared" si="131"/>
        <v>0</v>
      </c>
      <c r="S329" s="176">
        <f t="shared" si="131"/>
        <v>0</v>
      </c>
      <c r="T329" s="176">
        <f t="shared" si="131"/>
        <v>0</v>
      </c>
      <c r="U329" s="176">
        <f t="shared" si="131"/>
        <v>0</v>
      </c>
      <c r="V329" s="176">
        <f t="shared" si="131"/>
        <v>0</v>
      </c>
      <c r="W329" s="176">
        <f t="shared" si="131"/>
        <v>0</v>
      </c>
      <c r="X329" s="176">
        <f t="shared" si="131"/>
        <v>0</v>
      </c>
      <c r="Y329" s="176">
        <f t="shared" si="131"/>
        <v>0</v>
      </c>
      <c r="Z329" s="176">
        <f t="shared" si="131"/>
        <v>0</v>
      </c>
      <c r="AA329" s="176">
        <f t="shared" si="131"/>
        <v>0</v>
      </c>
      <c r="AB329" s="176">
        <f t="shared" si="131"/>
        <v>0</v>
      </c>
      <c r="AC329" s="176">
        <f t="shared" si="131"/>
        <v>0</v>
      </c>
      <c r="AD329" s="176">
        <f t="shared" si="131"/>
        <v>0</v>
      </c>
      <c r="AE329" s="176">
        <f t="shared" si="131"/>
        <v>0</v>
      </c>
      <c r="AF329" s="176">
        <f t="shared" si="131"/>
        <v>0</v>
      </c>
      <c r="AG329" s="176">
        <f t="shared" si="131"/>
        <v>0</v>
      </c>
      <c r="AH329" s="176">
        <f t="shared" si="131"/>
        <v>0</v>
      </c>
      <c r="AI329" s="176">
        <f t="shared" si="131"/>
        <v>0</v>
      </c>
      <c r="AJ329" s="176">
        <f t="shared" si="131"/>
        <v>0</v>
      </c>
      <c r="AK329" s="176">
        <f t="shared" si="131"/>
        <v>0</v>
      </c>
      <c r="AL329" s="176">
        <f t="shared" si="131"/>
        <v>0</v>
      </c>
      <c r="AM329" s="176">
        <f t="shared" si="131"/>
        <v>0</v>
      </c>
      <c r="AN329" s="18"/>
      <c r="AO329" s="18"/>
      <c r="AP329" s="18"/>
      <c r="AQ329" s="18"/>
      <c r="AR329" s="18"/>
      <c r="AS329" s="18"/>
      <c r="AT329" s="18"/>
      <c r="AU329" s="18"/>
      <c r="AV329" s="18"/>
    </row>
    <row r="330" s="7" customFormat="1" ht="31.05" hidden="1" customHeight="1" spans="1:48">
      <c r="A330" s="164"/>
      <c r="B330" s="164"/>
      <c r="C330" s="165" t="s">
        <v>51</v>
      </c>
      <c r="D330" s="174"/>
      <c r="E330" s="174"/>
      <c r="F330" s="175"/>
      <c r="G330" s="168" t="s">
        <v>38</v>
      </c>
      <c r="H330" s="169" t="s">
        <v>107</v>
      </c>
      <c r="I330" s="170">
        <f>SUM(J330:HU330)</f>
        <v>32569</v>
      </c>
      <c r="J330" s="171">
        <v>1627</v>
      </c>
      <c r="K330" s="171">
        <v>977</v>
      </c>
      <c r="L330" s="171">
        <v>1303</v>
      </c>
      <c r="M330" s="171">
        <v>1303</v>
      </c>
      <c r="N330" s="171">
        <v>977</v>
      </c>
      <c r="O330" s="171">
        <v>1303</v>
      </c>
      <c r="P330" s="171">
        <v>1140</v>
      </c>
      <c r="Q330" s="171">
        <v>977</v>
      </c>
      <c r="R330" s="171">
        <v>1140</v>
      </c>
      <c r="S330" s="171">
        <v>977</v>
      </c>
      <c r="T330" s="171">
        <v>977</v>
      </c>
      <c r="U330" s="171">
        <v>977</v>
      </c>
      <c r="V330" s="171">
        <v>977</v>
      </c>
      <c r="W330" s="171">
        <v>1303</v>
      </c>
      <c r="X330" s="171">
        <v>1303</v>
      </c>
      <c r="Y330" s="171">
        <v>1629</v>
      </c>
      <c r="Z330" s="171">
        <v>1303</v>
      </c>
      <c r="AA330" s="171">
        <v>1956</v>
      </c>
      <c r="AB330" s="171">
        <v>977</v>
      </c>
      <c r="AC330" s="171">
        <v>1303</v>
      </c>
      <c r="AD330" s="171">
        <v>814</v>
      </c>
      <c r="AE330" s="171">
        <v>814</v>
      </c>
      <c r="AF330" s="171">
        <v>814</v>
      </c>
      <c r="AG330" s="171">
        <v>814</v>
      </c>
      <c r="AH330" s="171">
        <v>814</v>
      </c>
      <c r="AI330" s="171">
        <v>814</v>
      </c>
      <c r="AJ330" s="171">
        <v>814</v>
      </c>
      <c r="AK330" s="182">
        <v>814</v>
      </c>
      <c r="AL330" s="182">
        <v>814</v>
      </c>
      <c r="AM330" s="182">
        <v>814</v>
      </c>
      <c r="AN330" s="14"/>
      <c r="AO330" s="14"/>
      <c r="AP330" s="14"/>
      <c r="AQ330" s="14"/>
      <c r="AR330" s="14"/>
      <c r="AS330" s="14"/>
      <c r="AT330" s="14"/>
      <c r="AU330" s="14"/>
      <c r="AV330" s="14"/>
    </row>
    <row r="331" s="7" customFormat="1" ht="31.05" hidden="1" customHeight="1" spans="1:48">
      <c r="A331" s="164"/>
      <c r="B331" s="164"/>
      <c r="C331" s="165" t="s">
        <v>51</v>
      </c>
      <c r="D331" s="174"/>
      <c r="E331" s="174"/>
      <c r="F331" s="175"/>
      <c r="G331" s="4"/>
      <c r="H331" s="135" t="s">
        <v>109</v>
      </c>
      <c r="I331" s="170" t="e">
        <f>SUM(J331:HU331)</f>
        <v>#REF!</v>
      </c>
      <c r="J331" s="171" t="e">
        <f t="shared" ref="J331:AM331" si="132">J322+J327</f>
        <v>#REF!</v>
      </c>
      <c r="K331" s="171" t="e">
        <f t="shared" si="132"/>
        <v>#REF!</v>
      </c>
      <c r="L331" s="171" t="e">
        <f t="shared" si="132"/>
        <v>#REF!</v>
      </c>
      <c r="M331" s="171" t="e">
        <f t="shared" si="132"/>
        <v>#REF!</v>
      </c>
      <c r="N331" s="171" t="e">
        <f t="shared" si="132"/>
        <v>#REF!</v>
      </c>
      <c r="O331" s="171" t="e">
        <f t="shared" si="132"/>
        <v>#REF!</v>
      </c>
      <c r="P331" s="171" t="e">
        <f t="shared" si="132"/>
        <v>#REF!</v>
      </c>
      <c r="Q331" s="171" t="e">
        <f t="shared" si="132"/>
        <v>#REF!</v>
      </c>
      <c r="R331" s="171" t="e">
        <f t="shared" si="132"/>
        <v>#REF!</v>
      </c>
      <c r="S331" s="171" t="e">
        <f t="shared" si="132"/>
        <v>#REF!</v>
      </c>
      <c r="T331" s="171" t="e">
        <f t="shared" si="132"/>
        <v>#REF!</v>
      </c>
      <c r="U331" s="171" t="e">
        <f t="shared" si="132"/>
        <v>#REF!</v>
      </c>
      <c r="V331" s="171" t="e">
        <f t="shared" si="132"/>
        <v>#REF!</v>
      </c>
      <c r="W331" s="171" t="e">
        <f t="shared" si="132"/>
        <v>#REF!</v>
      </c>
      <c r="X331" s="171" t="e">
        <f t="shared" si="132"/>
        <v>#REF!</v>
      </c>
      <c r="Y331" s="171" t="e">
        <f t="shared" si="132"/>
        <v>#REF!</v>
      </c>
      <c r="Z331" s="171" t="e">
        <f t="shared" si="132"/>
        <v>#REF!</v>
      </c>
      <c r="AA331" s="171" t="e">
        <f t="shared" si="132"/>
        <v>#REF!</v>
      </c>
      <c r="AB331" s="171" t="e">
        <f t="shared" si="132"/>
        <v>#REF!</v>
      </c>
      <c r="AC331" s="171" t="e">
        <f t="shared" si="132"/>
        <v>#REF!</v>
      </c>
      <c r="AD331" s="171" t="e">
        <f t="shared" si="132"/>
        <v>#REF!</v>
      </c>
      <c r="AE331" s="171" t="e">
        <f t="shared" si="132"/>
        <v>#REF!</v>
      </c>
      <c r="AF331" s="171" t="e">
        <f t="shared" si="132"/>
        <v>#REF!</v>
      </c>
      <c r="AG331" s="171" t="e">
        <f t="shared" si="132"/>
        <v>#REF!</v>
      </c>
      <c r="AH331" s="171" t="e">
        <f t="shared" si="132"/>
        <v>#REF!</v>
      </c>
      <c r="AI331" s="171" t="e">
        <f t="shared" si="132"/>
        <v>#REF!</v>
      </c>
      <c r="AJ331" s="171" t="e">
        <f t="shared" si="132"/>
        <v>#REF!</v>
      </c>
      <c r="AK331" s="171" t="e">
        <f t="shared" si="132"/>
        <v>#REF!</v>
      </c>
      <c r="AL331" s="171" t="e">
        <f t="shared" si="132"/>
        <v>#REF!</v>
      </c>
      <c r="AM331" s="171" t="e">
        <f t="shared" si="132"/>
        <v>#REF!</v>
      </c>
      <c r="AN331" s="14"/>
      <c r="AO331" s="14"/>
      <c r="AP331" s="14"/>
      <c r="AQ331" s="14"/>
      <c r="AR331" s="14"/>
      <c r="AS331" s="14"/>
      <c r="AT331" s="14"/>
      <c r="AU331" s="14"/>
      <c r="AV331" s="14"/>
    </row>
    <row r="332" s="8" customFormat="1" ht="31.05" hidden="1" customHeight="1" spans="1:48">
      <c r="A332" s="19"/>
      <c r="B332" s="19"/>
      <c r="C332" s="178" t="s">
        <v>51</v>
      </c>
      <c r="D332" s="183"/>
      <c r="E332" s="183"/>
      <c r="F332" s="184"/>
      <c r="G332" s="181"/>
      <c r="H332" s="142" t="s">
        <v>111</v>
      </c>
      <c r="I332" s="176">
        <f t="shared" ref="I332:AM332" si="133">IFERROR(I331/I330,0)</f>
        <v>0</v>
      </c>
      <c r="J332" s="176">
        <f t="shared" si="133"/>
        <v>0</v>
      </c>
      <c r="K332" s="176">
        <f t="shared" si="133"/>
        <v>0</v>
      </c>
      <c r="L332" s="176">
        <f t="shared" si="133"/>
        <v>0</v>
      </c>
      <c r="M332" s="176">
        <f t="shared" si="133"/>
        <v>0</v>
      </c>
      <c r="N332" s="176">
        <f t="shared" si="133"/>
        <v>0</v>
      </c>
      <c r="O332" s="176">
        <f t="shared" si="133"/>
        <v>0</v>
      </c>
      <c r="P332" s="176">
        <f t="shared" si="133"/>
        <v>0</v>
      </c>
      <c r="Q332" s="176">
        <f t="shared" si="133"/>
        <v>0</v>
      </c>
      <c r="R332" s="176">
        <f t="shared" si="133"/>
        <v>0</v>
      </c>
      <c r="S332" s="176">
        <f t="shared" si="133"/>
        <v>0</v>
      </c>
      <c r="T332" s="176">
        <f t="shared" si="133"/>
        <v>0</v>
      </c>
      <c r="U332" s="176">
        <f t="shared" si="133"/>
        <v>0</v>
      </c>
      <c r="V332" s="176">
        <f t="shared" si="133"/>
        <v>0</v>
      </c>
      <c r="W332" s="176">
        <f t="shared" si="133"/>
        <v>0</v>
      </c>
      <c r="X332" s="176">
        <f t="shared" si="133"/>
        <v>0</v>
      </c>
      <c r="Y332" s="176">
        <f t="shared" si="133"/>
        <v>0</v>
      </c>
      <c r="Z332" s="176">
        <f t="shared" si="133"/>
        <v>0</v>
      </c>
      <c r="AA332" s="176">
        <f t="shared" si="133"/>
        <v>0</v>
      </c>
      <c r="AB332" s="176">
        <f t="shared" si="133"/>
        <v>0</v>
      </c>
      <c r="AC332" s="176">
        <f t="shared" si="133"/>
        <v>0</v>
      </c>
      <c r="AD332" s="176">
        <f t="shared" si="133"/>
        <v>0</v>
      </c>
      <c r="AE332" s="176">
        <f t="shared" si="133"/>
        <v>0</v>
      </c>
      <c r="AF332" s="176">
        <f t="shared" si="133"/>
        <v>0</v>
      </c>
      <c r="AG332" s="176">
        <f t="shared" si="133"/>
        <v>0</v>
      </c>
      <c r="AH332" s="176">
        <f t="shared" si="133"/>
        <v>0</v>
      </c>
      <c r="AI332" s="176">
        <f t="shared" si="133"/>
        <v>0</v>
      </c>
      <c r="AJ332" s="176">
        <f t="shared" si="133"/>
        <v>0</v>
      </c>
      <c r="AK332" s="176">
        <f t="shared" si="133"/>
        <v>0</v>
      </c>
      <c r="AL332" s="176">
        <f t="shared" si="133"/>
        <v>0</v>
      </c>
      <c r="AM332" s="176">
        <f t="shared" si="133"/>
        <v>0</v>
      </c>
      <c r="AN332" s="18"/>
      <c r="AO332" s="18"/>
      <c r="AP332" s="18"/>
      <c r="AQ332" s="18"/>
      <c r="AR332" s="18"/>
      <c r="AS332" s="18"/>
      <c r="AT332" s="18"/>
      <c r="AU332" s="18"/>
      <c r="AV332" s="18"/>
    </row>
    <row r="333" s="7" customFormat="1" ht="31.05" hidden="1" customHeight="1" spans="1:48">
      <c r="A333" s="164"/>
      <c r="B333" s="164"/>
      <c r="C333" s="165" t="s">
        <v>51</v>
      </c>
      <c r="D333" s="167" t="s">
        <v>87</v>
      </c>
      <c r="E333" s="167">
        <v>0.2</v>
      </c>
      <c r="F333" s="167" t="e">
        <f>I344/$I$383</f>
        <v>#REF!</v>
      </c>
      <c r="G333" s="168" t="s">
        <v>106</v>
      </c>
      <c r="H333" s="169" t="s">
        <v>107</v>
      </c>
      <c r="I333" s="170">
        <f>SUM(J333:HU333)</f>
        <v>22807</v>
      </c>
      <c r="J333" s="171">
        <v>1146</v>
      </c>
      <c r="K333" s="171">
        <v>684</v>
      </c>
      <c r="L333" s="171">
        <v>912</v>
      </c>
      <c r="M333" s="171">
        <v>912</v>
      </c>
      <c r="N333" s="171">
        <v>684</v>
      </c>
      <c r="O333" s="171">
        <v>912</v>
      </c>
      <c r="P333" s="171">
        <v>798</v>
      </c>
      <c r="Q333" s="171">
        <v>684</v>
      </c>
      <c r="R333" s="171">
        <v>798</v>
      </c>
      <c r="S333" s="171">
        <v>684</v>
      </c>
      <c r="T333" s="171">
        <v>684</v>
      </c>
      <c r="U333" s="171">
        <v>684</v>
      </c>
      <c r="V333" s="171">
        <v>684</v>
      </c>
      <c r="W333" s="171">
        <v>912</v>
      </c>
      <c r="X333" s="171">
        <v>912</v>
      </c>
      <c r="Y333" s="171">
        <v>1140</v>
      </c>
      <c r="Z333" s="171">
        <v>912</v>
      </c>
      <c r="AA333" s="171">
        <v>1369</v>
      </c>
      <c r="AB333" s="171">
        <v>684</v>
      </c>
      <c r="AC333" s="171">
        <v>912</v>
      </c>
      <c r="AD333" s="171">
        <v>570</v>
      </c>
      <c r="AE333" s="171">
        <v>570</v>
      </c>
      <c r="AF333" s="171">
        <v>570</v>
      </c>
      <c r="AG333" s="171">
        <v>570</v>
      </c>
      <c r="AH333" s="171">
        <v>570</v>
      </c>
      <c r="AI333" s="171">
        <v>570</v>
      </c>
      <c r="AJ333" s="171">
        <v>570</v>
      </c>
      <c r="AK333" s="182">
        <v>570</v>
      </c>
      <c r="AL333" s="182">
        <v>570</v>
      </c>
      <c r="AM333" s="182">
        <v>570</v>
      </c>
      <c r="AN333" s="14"/>
      <c r="AO333" s="14"/>
      <c r="AP333" s="14"/>
      <c r="AQ333" s="14"/>
      <c r="AR333" s="14"/>
      <c r="AS333" s="14"/>
      <c r="AT333" s="14"/>
      <c r="AU333" s="14"/>
      <c r="AV333" s="14"/>
    </row>
    <row r="334" s="7" customFormat="1" ht="31.05" hidden="1" customHeight="1" spans="1:48">
      <c r="A334" s="164"/>
      <c r="B334" s="164"/>
      <c r="C334" s="165" t="s">
        <v>51</v>
      </c>
      <c r="D334" s="175"/>
      <c r="E334" s="175"/>
      <c r="F334" s="175"/>
      <c r="G334" s="4"/>
      <c r="H334" s="169" t="s">
        <v>108</v>
      </c>
      <c r="I334" s="176">
        <v>0.7</v>
      </c>
      <c r="J334" s="176">
        <v>0.7</v>
      </c>
      <c r="K334" s="176">
        <v>0.7</v>
      </c>
      <c r="L334" s="176">
        <v>0.7</v>
      </c>
      <c r="M334" s="176">
        <v>0.7</v>
      </c>
      <c r="N334" s="176">
        <v>0.7</v>
      </c>
      <c r="O334" s="176">
        <v>0.7</v>
      </c>
      <c r="P334" s="176">
        <v>0.7</v>
      </c>
      <c r="Q334" s="176">
        <v>0.7</v>
      </c>
      <c r="R334" s="176">
        <v>0.7</v>
      </c>
      <c r="S334" s="176">
        <v>0.7</v>
      </c>
      <c r="T334" s="176">
        <v>0.7</v>
      </c>
      <c r="U334" s="176">
        <v>0.7</v>
      </c>
      <c r="V334" s="176">
        <v>0.7</v>
      </c>
      <c r="W334" s="176">
        <v>0.7</v>
      </c>
      <c r="X334" s="176">
        <v>0.7</v>
      </c>
      <c r="Y334" s="176">
        <v>0.7</v>
      </c>
      <c r="Z334" s="176">
        <v>0.7</v>
      </c>
      <c r="AA334" s="176">
        <v>0.7</v>
      </c>
      <c r="AB334" s="176">
        <v>0.7</v>
      </c>
      <c r="AC334" s="176">
        <v>0.7</v>
      </c>
      <c r="AD334" s="176">
        <v>0.7</v>
      </c>
      <c r="AE334" s="176">
        <v>0.7</v>
      </c>
      <c r="AF334" s="176">
        <v>0.7</v>
      </c>
      <c r="AG334" s="176">
        <v>0.7</v>
      </c>
      <c r="AH334" s="176">
        <v>0.7</v>
      </c>
      <c r="AI334" s="176">
        <v>0.7</v>
      </c>
      <c r="AJ334" s="176">
        <v>0.7</v>
      </c>
      <c r="AK334" s="177">
        <v>0.7</v>
      </c>
      <c r="AL334" s="177">
        <v>0.7</v>
      </c>
      <c r="AM334" s="177">
        <v>0.7</v>
      </c>
      <c r="AN334" s="14"/>
      <c r="AO334" s="14"/>
      <c r="AP334" s="14"/>
      <c r="AQ334" s="14"/>
      <c r="AR334" s="14"/>
      <c r="AS334" s="14"/>
      <c r="AT334" s="14"/>
      <c r="AU334" s="14"/>
      <c r="AV334" s="14"/>
    </row>
    <row r="335" s="9" customFormat="1" ht="31.05" hidden="1" customHeight="1" spans="1:48">
      <c r="A335" s="164"/>
      <c r="B335" s="164"/>
      <c r="C335" s="165" t="s">
        <v>51</v>
      </c>
      <c r="D335" s="175"/>
      <c r="E335" s="175"/>
      <c r="F335" s="175"/>
      <c r="G335" s="4"/>
      <c r="H335" s="135" t="s">
        <v>109</v>
      </c>
      <c r="I335" s="170" t="e">
        <f>SUM(J335:HU335)</f>
        <v>#REF!</v>
      </c>
      <c r="J335" s="170" t="e">
        <f>SUMIFS(#REF!,#REF!,$C333&amp;J$319&amp;$D$333&amp;$G$333)</f>
        <v>#REF!</v>
      </c>
      <c r="K335" s="170" t="e">
        <f>SUMIFS(#REF!,#REF!,$C333&amp;K$319&amp;$D$333&amp;$G$333)</f>
        <v>#REF!</v>
      </c>
      <c r="L335" s="170" t="e">
        <f>SUMIFS(#REF!,#REF!,$C333&amp;L$319&amp;$D$333&amp;$G$333)</f>
        <v>#REF!</v>
      </c>
      <c r="M335" s="170" t="e">
        <f>SUMIFS(#REF!,#REF!,$C333&amp;M$319&amp;$D$333&amp;$G$333)</f>
        <v>#REF!</v>
      </c>
      <c r="N335" s="170" t="e">
        <f>SUMIFS(#REF!,#REF!,$C333&amp;N$319&amp;$D$333&amp;$G$333)</f>
        <v>#REF!</v>
      </c>
      <c r="O335" s="170" t="e">
        <f>SUMIFS(#REF!,#REF!,$C333&amp;O$319&amp;$D$333&amp;$G$333)</f>
        <v>#REF!</v>
      </c>
      <c r="P335" s="170" t="e">
        <f>SUMIFS(#REF!,#REF!,$C333&amp;P$319&amp;$D$333&amp;$G$333)</f>
        <v>#REF!</v>
      </c>
      <c r="Q335" s="170" t="e">
        <f>SUMIFS(#REF!,#REF!,$C333&amp;Q$319&amp;$D$333&amp;$G$333)</f>
        <v>#REF!</v>
      </c>
      <c r="R335" s="170" t="e">
        <f>SUMIFS(#REF!,#REF!,$C333&amp;R$319&amp;$D$333&amp;$G$333)</f>
        <v>#REF!</v>
      </c>
      <c r="S335" s="170" t="e">
        <f>SUMIFS(#REF!,#REF!,$C333&amp;S$319&amp;$D$333&amp;$G$333)</f>
        <v>#REF!</v>
      </c>
      <c r="T335" s="170" t="e">
        <f>SUMIFS(#REF!,#REF!,$C333&amp;T$319&amp;$D$333&amp;$G$333)</f>
        <v>#REF!</v>
      </c>
      <c r="U335" s="170" t="e">
        <f>SUMIFS(#REF!,#REF!,$C333&amp;U$319&amp;$D$333&amp;$G$333)</f>
        <v>#REF!</v>
      </c>
      <c r="V335" s="170" t="e">
        <f>SUMIFS(#REF!,#REF!,$C333&amp;V$319&amp;$D$333&amp;$G$333)</f>
        <v>#REF!</v>
      </c>
      <c r="W335" s="170" t="e">
        <f>SUMIFS(#REF!,#REF!,$C333&amp;W$319&amp;$D$333&amp;$G$333)</f>
        <v>#REF!</v>
      </c>
      <c r="X335" s="170" t="e">
        <f>SUMIFS(#REF!,#REF!,$C333&amp;X$319&amp;$D$333&amp;$G$333)</f>
        <v>#REF!</v>
      </c>
      <c r="Y335" s="170" t="e">
        <f>SUMIFS(#REF!,#REF!,$C333&amp;Y$319&amp;$D$333&amp;$G$333)</f>
        <v>#REF!</v>
      </c>
      <c r="Z335" s="170" t="e">
        <f>SUMIFS(#REF!,#REF!,$C333&amp;Z$319&amp;$D$333&amp;$G$333)</f>
        <v>#REF!</v>
      </c>
      <c r="AA335" s="170" t="e">
        <f>SUMIFS(#REF!,#REF!,$C333&amp;AA$319&amp;$D$333&amp;$G$333)</f>
        <v>#REF!</v>
      </c>
      <c r="AB335" s="170" t="e">
        <f>SUMIFS(#REF!,#REF!,$C333&amp;AB$319&amp;$D$333&amp;$G$333)</f>
        <v>#REF!</v>
      </c>
      <c r="AC335" s="170" t="e">
        <f>SUMIFS(#REF!,#REF!,$C333&amp;AC$319&amp;$D$333&amp;$G$333)</f>
        <v>#REF!</v>
      </c>
      <c r="AD335" s="170" t="e">
        <f>SUMIFS(#REF!,#REF!,$C333&amp;AD$319&amp;$D$333&amp;$G$333)</f>
        <v>#REF!</v>
      </c>
      <c r="AE335" s="170" t="e">
        <f>SUMIFS(#REF!,#REF!,$C333&amp;AE$319&amp;$D$333&amp;$G$333)</f>
        <v>#REF!</v>
      </c>
      <c r="AF335" s="170" t="e">
        <f>SUMIFS(#REF!,#REF!,$C333&amp;AF$319&amp;$D$333&amp;$G$333)</f>
        <v>#REF!</v>
      </c>
      <c r="AG335" s="170" t="e">
        <f>SUMIFS(#REF!,#REF!,$C333&amp;AG$319&amp;$D$333&amp;$G$333)</f>
        <v>#REF!</v>
      </c>
      <c r="AH335" s="170" t="e">
        <f>SUMIFS(#REF!,#REF!,$C333&amp;AH$319&amp;$D$333&amp;$G$333)</f>
        <v>#REF!</v>
      </c>
      <c r="AI335" s="170" t="e">
        <f>SUMIFS(#REF!,#REF!,$C333&amp;AI$319&amp;$D$333&amp;$G$333)</f>
        <v>#REF!</v>
      </c>
      <c r="AJ335" s="170" t="e">
        <f>SUMIFS(#REF!,#REF!,$C333&amp;AJ$319&amp;$D$333&amp;$G$333)</f>
        <v>#REF!</v>
      </c>
      <c r="AK335" s="170" t="e">
        <f>SUMIFS(#REF!,#REF!,$C333&amp;AK$319&amp;$D$333&amp;$G$333)</f>
        <v>#REF!</v>
      </c>
      <c r="AL335" s="170" t="e">
        <f>SUMIFS(#REF!,#REF!,$C333&amp;AL$319&amp;$D$333&amp;$G$333)</f>
        <v>#REF!</v>
      </c>
      <c r="AM335" s="170" t="e">
        <f>SUMIFS(#REF!,#REF!,$C333&amp;AM$319&amp;$D$333&amp;$G$333)</f>
        <v>#REF!</v>
      </c>
      <c r="AN335" s="14"/>
      <c r="AO335" s="14"/>
      <c r="AP335" s="14"/>
      <c r="AQ335" s="14"/>
      <c r="AR335" s="14"/>
      <c r="AS335" s="14"/>
      <c r="AT335" s="14"/>
      <c r="AU335" s="14"/>
      <c r="AV335" s="14"/>
    </row>
    <row r="336" s="7" customFormat="1" ht="31.05" hidden="1" customHeight="1" spans="1:48">
      <c r="A336" s="164"/>
      <c r="B336" s="164"/>
      <c r="C336" s="165" t="s">
        <v>51</v>
      </c>
      <c r="D336" s="175"/>
      <c r="E336" s="175"/>
      <c r="F336" s="180"/>
      <c r="G336" s="4"/>
      <c r="H336" s="135" t="s">
        <v>110</v>
      </c>
      <c r="I336" s="182">
        <f t="shared" ref="I336:AM336" si="134">IFERROR(I335/I$344,0)</f>
        <v>0</v>
      </c>
      <c r="J336" s="182">
        <f t="shared" si="134"/>
        <v>0</v>
      </c>
      <c r="K336" s="182">
        <f t="shared" si="134"/>
        <v>0</v>
      </c>
      <c r="L336" s="182">
        <f t="shared" si="134"/>
        <v>0</v>
      </c>
      <c r="M336" s="182">
        <f t="shared" si="134"/>
        <v>0</v>
      </c>
      <c r="N336" s="182">
        <f t="shared" si="134"/>
        <v>0</v>
      </c>
      <c r="O336" s="182">
        <f t="shared" si="134"/>
        <v>0</v>
      </c>
      <c r="P336" s="182">
        <f t="shared" si="134"/>
        <v>0</v>
      </c>
      <c r="Q336" s="182">
        <f t="shared" si="134"/>
        <v>0</v>
      </c>
      <c r="R336" s="182">
        <f t="shared" si="134"/>
        <v>0</v>
      </c>
      <c r="S336" s="182">
        <f t="shared" si="134"/>
        <v>0</v>
      </c>
      <c r="T336" s="182">
        <f t="shared" si="134"/>
        <v>0</v>
      </c>
      <c r="U336" s="182">
        <f t="shared" si="134"/>
        <v>0</v>
      </c>
      <c r="V336" s="182">
        <f t="shared" si="134"/>
        <v>0</v>
      </c>
      <c r="W336" s="182">
        <f t="shared" si="134"/>
        <v>0</v>
      </c>
      <c r="X336" s="182">
        <f t="shared" si="134"/>
        <v>0</v>
      </c>
      <c r="Y336" s="182">
        <f t="shared" si="134"/>
        <v>0</v>
      </c>
      <c r="Z336" s="182">
        <f t="shared" si="134"/>
        <v>0</v>
      </c>
      <c r="AA336" s="182">
        <f t="shared" si="134"/>
        <v>0</v>
      </c>
      <c r="AB336" s="182">
        <f t="shared" si="134"/>
        <v>0</v>
      </c>
      <c r="AC336" s="182">
        <f t="shared" si="134"/>
        <v>0</v>
      </c>
      <c r="AD336" s="182">
        <f t="shared" si="134"/>
        <v>0</v>
      </c>
      <c r="AE336" s="182">
        <f t="shared" si="134"/>
        <v>0</v>
      </c>
      <c r="AF336" s="182">
        <f t="shared" si="134"/>
        <v>0</v>
      </c>
      <c r="AG336" s="182">
        <f t="shared" si="134"/>
        <v>0</v>
      </c>
      <c r="AH336" s="182">
        <f t="shared" si="134"/>
        <v>0</v>
      </c>
      <c r="AI336" s="182">
        <f t="shared" si="134"/>
        <v>0</v>
      </c>
      <c r="AJ336" s="182">
        <f t="shared" si="134"/>
        <v>0</v>
      </c>
      <c r="AK336" s="182">
        <f t="shared" si="134"/>
        <v>0</v>
      </c>
      <c r="AL336" s="182">
        <f t="shared" si="134"/>
        <v>0</v>
      </c>
      <c r="AM336" s="182">
        <f t="shared" si="134"/>
        <v>0</v>
      </c>
      <c r="AN336" s="14"/>
      <c r="AO336" s="14"/>
      <c r="AP336" s="14"/>
      <c r="AQ336" s="14"/>
      <c r="AR336" s="14"/>
      <c r="AS336" s="14"/>
      <c r="AT336" s="14"/>
      <c r="AU336" s="14"/>
      <c r="AV336" s="14"/>
    </row>
    <row r="337" s="7" customFormat="1" ht="31.05" hidden="1" customHeight="1" spans="1:48">
      <c r="A337" s="164"/>
      <c r="B337" s="164"/>
      <c r="C337" s="165" t="s">
        <v>51</v>
      </c>
      <c r="D337" s="175"/>
      <c r="E337" s="175"/>
      <c r="F337" s="180"/>
      <c r="G337" s="185"/>
      <c r="H337" s="135" t="s">
        <v>111</v>
      </c>
      <c r="I337" s="171">
        <f t="shared" ref="I337:AM337" si="135">IFERROR(I335/I333,0)</f>
        <v>0</v>
      </c>
      <c r="J337" s="171">
        <f t="shared" si="135"/>
        <v>0</v>
      </c>
      <c r="K337" s="171">
        <f t="shared" si="135"/>
        <v>0</v>
      </c>
      <c r="L337" s="171">
        <f t="shared" si="135"/>
        <v>0</v>
      </c>
      <c r="M337" s="171">
        <f t="shared" si="135"/>
        <v>0</v>
      </c>
      <c r="N337" s="171">
        <f t="shared" si="135"/>
        <v>0</v>
      </c>
      <c r="O337" s="171">
        <f t="shared" si="135"/>
        <v>0</v>
      </c>
      <c r="P337" s="171">
        <f t="shared" si="135"/>
        <v>0</v>
      </c>
      <c r="Q337" s="171">
        <f t="shared" si="135"/>
        <v>0</v>
      </c>
      <c r="R337" s="171">
        <f t="shared" si="135"/>
        <v>0</v>
      </c>
      <c r="S337" s="171">
        <f t="shared" si="135"/>
        <v>0</v>
      </c>
      <c r="T337" s="171">
        <f t="shared" si="135"/>
        <v>0</v>
      </c>
      <c r="U337" s="171">
        <f t="shared" si="135"/>
        <v>0</v>
      </c>
      <c r="V337" s="171">
        <f t="shared" si="135"/>
        <v>0</v>
      </c>
      <c r="W337" s="171">
        <f t="shared" si="135"/>
        <v>0</v>
      </c>
      <c r="X337" s="171">
        <f t="shared" si="135"/>
        <v>0</v>
      </c>
      <c r="Y337" s="171">
        <f t="shared" si="135"/>
        <v>0</v>
      </c>
      <c r="Z337" s="171">
        <f t="shared" si="135"/>
        <v>0</v>
      </c>
      <c r="AA337" s="171">
        <f t="shared" si="135"/>
        <v>0</v>
      </c>
      <c r="AB337" s="171">
        <f t="shared" si="135"/>
        <v>0</v>
      </c>
      <c r="AC337" s="171">
        <f t="shared" si="135"/>
        <v>0</v>
      </c>
      <c r="AD337" s="171">
        <f t="shared" si="135"/>
        <v>0</v>
      </c>
      <c r="AE337" s="171">
        <f t="shared" si="135"/>
        <v>0</v>
      </c>
      <c r="AF337" s="171">
        <f t="shared" si="135"/>
        <v>0</v>
      </c>
      <c r="AG337" s="171">
        <f t="shared" si="135"/>
        <v>0</v>
      </c>
      <c r="AH337" s="171">
        <f t="shared" si="135"/>
        <v>0</v>
      </c>
      <c r="AI337" s="171">
        <f t="shared" si="135"/>
        <v>0</v>
      </c>
      <c r="AJ337" s="171">
        <f t="shared" si="135"/>
        <v>0</v>
      </c>
      <c r="AK337" s="171">
        <f t="shared" si="135"/>
        <v>0</v>
      </c>
      <c r="AL337" s="171">
        <f t="shared" si="135"/>
        <v>0</v>
      </c>
      <c r="AM337" s="171">
        <f t="shared" si="135"/>
        <v>0</v>
      </c>
      <c r="AN337" s="14"/>
      <c r="AO337" s="14"/>
      <c r="AP337" s="14"/>
      <c r="AQ337" s="14"/>
      <c r="AR337" s="14"/>
      <c r="AS337" s="14"/>
      <c r="AT337" s="14"/>
      <c r="AU337" s="14"/>
      <c r="AV337" s="14"/>
    </row>
    <row r="338" s="7" customFormat="1" ht="31.05" hidden="1" customHeight="1" spans="1:48">
      <c r="A338" s="164"/>
      <c r="B338" s="164"/>
      <c r="C338" s="165" t="s">
        <v>51</v>
      </c>
      <c r="D338" s="175"/>
      <c r="E338" s="175"/>
      <c r="F338" s="175"/>
      <c r="G338" s="168" t="s">
        <v>112</v>
      </c>
      <c r="H338" s="169" t="s">
        <v>107</v>
      </c>
      <c r="I338" s="170">
        <f>SUM(J338:HU338)</f>
        <v>9770</v>
      </c>
      <c r="J338" s="171">
        <v>489</v>
      </c>
      <c r="K338" s="171">
        <v>293</v>
      </c>
      <c r="L338" s="171">
        <v>391</v>
      </c>
      <c r="M338" s="171">
        <v>391</v>
      </c>
      <c r="N338" s="171">
        <v>293</v>
      </c>
      <c r="O338" s="171">
        <v>391</v>
      </c>
      <c r="P338" s="171">
        <v>342</v>
      </c>
      <c r="Q338" s="171">
        <v>293</v>
      </c>
      <c r="R338" s="171">
        <v>342</v>
      </c>
      <c r="S338" s="171">
        <v>293</v>
      </c>
      <c r="T338" s="171">
        <v>293</v>
      </c>
      <c r="U338" s="171">
        <v>293</v>
      </c>
      <c r="V338" s="171">
        <v>293</v>
      </c>
      <c r="W338" s="171">
        <v>391</v>
      </c>
      <c r="X338" s="171">
        <v>391</v>
      </c>
      <c r="Y338" s="171">
        <v>489</v>
      </c>
      <c r="Z338" s="171">
        <v>391</v>
      </c>
      <c r="AA338" s="171">
        <v>587</v>
      </c>
      <c r="AB338" s="171">
        <v>293</v>
      </c>
      <c r="AC338" s="171">
        <v>391</v>
      </c>
      <c r="AD338" s="171">
        <v>244</v>
      </c>
      <c r="AE338" s="171">
        <v>244</v>
      </c>
      <c r="AF338" s="171">
        <v>244</v>
      </c>
      <c r="AG338" s="171">
        <v>244</v>
      </c>
      <c r="AH338" s="171">
        <v>244</v>
      </c>
      <c r="AI338" s="171">
        <v>244</v>
      </c>
      <c r="AJ338" s="171">
        <v>244</v>
      </c>
      <c r="AK338" s="182">
        <v>244</v>
      </c>
      <c r="AL338" s="182">
        <v>244</v>
      </c>
      <c r="AM338" s="182">
        <v>244</v>
      </c>
      <c r="AN338" s="14"/>
      <c r="AO338" s="14"/>
      <c r="AP338" s="14"/>
      <c r="AQ338" s="14"/>
      <c r="AR338" s="14"/>
      <c r="AS338" s="14"/>
      <c r="AT338" s="14"/>
      <c r="AU338" s="14"/>
      <c r="AV338" s="14"/>
    </row>
    <row r="339" s="7" customFormat="1" ht="31.05" hidden="1" customHeight="1" spans="1:48">
      <c r="A339" s="164"/>
      <c r="B339" s="164"/>
      <c r="C339" s="165" t="s">
        <v>51</v>
      </c>
      <c r="D339" s="175"/>
      <c r="E339" s="175"/>
      <c r="F339" s="175"/>
      <c r="G339" s="4"/>
      <c r="H339" s="169" t="s">
        <v>108</v>
      </c>
      <c r="I339" s="176">
        <v>0.3</v>
      </c>
      <c r="J339" s="176">
        <v>0.3</v>
      </c>
      <c r="K339" s="176">
        <v>0.3</v>
      </c>
      <c r="L339" s="176">
        <v>0.3</v>
      </c>
      <c r="M339" s="176">
        <v>0.3</v>
      </c>
      <c r="N339" s="176">
        <v>0.3</v>
      </c>
      <c r="O339" s="176">
        <v>0.3</v>
      </c>
      <c r="P339" s="176">
        <v>0.3</v>
      </c>
      <c r="Q339" s="176">
        <v>0.3</v>
      </c>
      <c r="R339" s="176">
        <v>0.3</v>
      </c>
      <c r="S339" s="176">
        <v>0.3</v>
      </c>
      <c r="T339" s="176">
        <v>0.3</v>
      </c>
      <c r="U339" s="176">
        <v>0.3</v>
      </c>
      <c r="V339" s="176">
        <v>0.3</v>
      </c>
      <c r="W339" s="176">
        <v>0.3</v>
      </c>
      <c r="X339" s="176">
        <v>0.3</v>
      </c>
      <c r="Y339" s="176">
        <v>0.3</v>
      </c>
      <c r="Z339" s="176">
        <v>0.3</v>
      </c>
      <c r="AA339" s="176">
        <v>0.3</v>
      </c>
      <c r="AB339" s="176">
        <v>0.3</v>
      </c>
      <c r="AC339" s="176">
        <v>0.3</v>
      </c>
      <c r="AD339" s="176">
        <v>0.3</v>
      </c>
      <c r="AE339" s="176">
        <v>0.3</v>
      </c>
      <c r="AF339" s="176">
        <v>0.3</v>
      </c>
      <c r="AG339" s="176">
        <v>0.3</v>
      </c>
      <c r="AH339" s="176">
        <v>0.3</v>
      </c>
      <c r="AI339" s="176">
        <v>0.3</v>
      </c>
      <c r="AJ339" s="176">
        <v>0.3</v>
      </c>
      <c r="AK339" s="177">
        <v>0.3</v>
      </c>
      <c r="AL339" s="177">
        <v>0.3</v>
      </c>
      <c r="AM339" s="177">
        <v>0.3</v>
      </c>
      <c r="AN339" s="14"/>
      <c r="AO339" s="14"/>
      <c r="AP339" s="14"/>
      <c r="AQ339" s="14"/>
      <c r="AR339" s="14"/>
      <c r="AS339" s="14"/>
      <c r="AT339" s="14"/>
      <c r="AU339" s="14"/>
      <c r="AV339" s="14"/>
    </row>
    <row r="340" s="7" customFormat="1" ht="31.05" hidden="1" customHeight="1" spans="1:48">
      <c r="A340" s="164"/>
      <c r="B340" s="164"/>
      <c r="C340" s="165" t="s">
        <v>51</v>
      </c>
      <c r="D340" s="175"/>
      <c r="E340" s="175"/>
      <c r="F340" s="175"/>
      <c r="G340" s="4"/>
      <c r="H340" s="135" t="s">
        <v>109</v>
      </c>
      <c r="I340" s="170" t="e">
        <f>SUM(J340:HU340)</f>
        <v>#REF!</v>
      </c>
      <c r="J340" s="170" t="e">
        <f>SUMIFS(#REF!,#REF!,$C338&amp;J$319&amp;$D$333&amp;$G$338)</f>
        <v>#REF!</v>
      </c>
      <c r="K340" s="170" t="e">
        <f>SUMIFS(#REF!,#REF!,$C338&amp;K$319&amp;$D$333&amp;$G$338)</f>
        <v>#REF!</v>
      </c>
      <c r="L340" s="170" t="e">
        <f>SUMIFS(#REF!,#REF!,$C338&amp;L$319&amp;$D$333&amp;$G$338)</f>
        <v>#REF!</v>
      </c>
      <c r="M340" s="170" t="e">
        <f>SUMIFS(#REF!,#REF!,$C338&amp;M$319&amp;$D$333&amp;$G$338)</f>
        <v>#REF!</v>
      </c>
      <c r="N340" s="170" t="e">
        <f>SUMIFS(#REF!,#REF!,$C338&amp;N$319&amp;$D$333&amp;$G$338)</f>
        <v>#REF!</v>
      </c>
      <c r="O340" s="170" t="e">
        <f>SUMIFS(#REF!,#REF!,$C338&amp;O$319&amp;$D$333&amp;$G$338)</f>
        <v>#REF!</v>
      </c>
      <c r="P340" s="170" t="e">
        <f>SUMIFS(#REF!,#REF!,$C338&amp;P$319&amp;$D$333&amp;$G$338)</f>
        <v>#REF!</v>
      </c>
      <c r="Q340" s="170" t="e">
        <f>SUMIFS(#REF!,#REF!,$C338&amp;Q$319&amp;$D$333&amp;$G$338)</f>
        <v>#REF!</v>
      </c>
      <c r="R340" s="170" t="e">
        <f>SUMIFS(#REF!,#REF!,$C338&amp;R$319&amp;$D$333&amp;$G$338)</f>
        <v>#REF!</v>
      </c>
      <c r="S340" s="170" t="e">
        <f>SUMIFS(#REF!,#REF!,$C338&amp;S$319&amp;$D$333&amp;$G$338)</f>
        <v>#REF!</v>
      </c>
      <c r="T340" s="170" t="e">
        <f>SUMIFS(#REF!,#REF!,$C338&amp;T$319&amp;$D$333&amp;$G$338)</f>
        <v>#REF!</v>
      </c>
      <c r="U340" s="170" t="e">
        <f>SUMIFS(#REF!,#REF!,$C338&amp;U$319&amp;$D$333&amp;$G$338)</f>
        <v>#REF!</v>
      </c>
      <c r="V340" s="170" t="e">
        <f>SUMIFS(#REF!,#REF!,$C338&amp;V$319&amp;$D$333&amp;$G$338)</f>
        <v>#REF!</v>
      </c>
      <c r="W340" s="170" t="e">
        <f>SUMIFS(#REF!,#REF!,$C338&amp;W$319&amp;$D$333&amp;$G$338)</f>
        <v>#REF!</v>
      </c>
      <c r="X340" s="170" t="e">
        <f>SUMIFS(#REF!,#REF!,$C338&amp;X$319&amp;$D$333&amp;$G$338)</f>
        <v>#REF!</v>
      </c>
      <c r="Y340" s="170" t="e">
        <f>SUMIFS(#REF!,#REF!,$C338&amp;Y$319&amp;$D$333&amp;$G$338)</f>
        <v>#REF!</v>
      </c>
      <c r="Z340" s="170" t="e">
        <f>SUMIFS(#REF!,#REF!,$C338&amp;Z$319&amp;$D$333&amp;$G$338)</f>
        <v>#REF!</v>
      </c>
      <c r="AA340" s="170" t="e">
        <f>SUMIFS(#REF!,#REF!,$C338&amp;AA$319&amp;$D$333&amp;$G$338)</f>
        <v>#REF!</v>
      </c>
      <c r="AB340" s="170" t="e">
        <f>SUMIFS(#REF!,#REF!,$C338&amp;AB$319&amp;$D$333&amp;$G$338)</f>
        <v>#REF!</v>
      </c>
      <c r="AC340" s="170" t="e">
        <f>SUMIFS(#REF!,#REF!,$C338&amp;AC$319&amp;$D$333&amp;$G$338)</f>
        <v>#REF!</v>
      </c>
      <c r="AD340" s="170" t="e">
        <f>SUMIFS(#REF!,#REF!,$C338&amp;AD$319&amp;$D$333&amp;$G$338)</f>
        <v>#REF!</v>
      </c>
      <c r="AE340" s="170" t="e">
        <f>SUMIFS(#REF!,#REF!,$C338&amp;AE$319&amp;$D$333&amp;$G$338)</f>
        <v>#REF!</v>
      </c>
      <c r="AF340" s="170" t="e">
        <f>SUMIFS(#REF!,#REF!,$C338&amp;AF$319&amp;$D$333&amp;$G$338)</f>
        <v>#REF!</v>
      </c>
      <c r="AG340" s="170" t="e">
        <f>SUMIFS(#REF!,#REF!,$C338&amp;AG$319&amp;$D$333&amp;$G$338)</f>
        <v>#REF!</v>
      </c>
      <c r="AH340" s="170" t="e">
        <f>SUMIFS(#REF!,#REF!,$C338&amp;AH$319&amp;$D$333&amp;$G$338)</f>
        <v>#REF!</v>
      </c>
      <c r="AI340" s="170" t="e">
        <f>SUMIFS(#REF!,#REF!,$C338&amp;AI$319&amp;$D$333&amp;$G$338)</f>
        <v>#REF!</v>
      </c>
      <c r="AJ340" s="170" t="e">
        <f>SUMIFS(#REF!,#REF!,$C338&amp;AJ$319&amp;$D$333&amp;$G$338)</f>
        <v>#REF!</v>
      </c>
      <c r="AK340" s="170" t="e">
        <f>SUMIFS(#REF!,#REF!,$C338&amp;AK$319&amp;$D$333&amp;$G$338)</f>
        <v>#REF!</v>
      </c>
      <c r="AL340" s="170" t="e">
        <f>SUMIFS(#REF!,#REF!,$C338&amp;AL$319&amp;$D$333&amp;$G$338)</f>
        <v>#REF!</v>
      </c>
      <c r="AM340" s="170" t="e">
        <f>SUMIFS(#REF!,#REF!,$C338&amp;AM$319&amp;$D$333&amp;$G$338)</f>
        <v>#REF!</v>
      </c>
      <c r="AN340" s="14"/>
      <c r="AO340" s="14"/>
      <c r="AP340" s="14"/>
      <c r="AQ340" s="14"/>
      <c r="AR340" s="14"/>
      <c r="AS340" s="14"/>
      <c r="AT340" s="14"/>
      <c r="AU340" s="14"/>
      <c r="AV340" s="14"/>
    </row>
    <row r="341" s="7" customFormat="1" ht="31.05" hidden="1" customHeight="1" spans="1:48">
      <c r="A341" s="164"/>
      <c r="B341" s="164"/>
      <c r="C341" s="165" t="s">
        <v>51</v>
      </c>
      <c r="D341" s="175"/>
      <c r="E341" s="175"/>
      <c r="F341" s="180"/>
      <c r="G341" s="4"/>
      <c r="H341" s="135" t="s">
        <v>110</v>
      </c>
      <c r="I341" s="182">
        <f t="shared" ref="I341:AM341" si="136">IFERROR(I340/I$344,0)</f>
        <v>0</v>
      </c>
      <c r="J341" s="182">
        <f t="shared" si="136"/>
        <v>0</v>
      </c>
      <c r="K341" s="182">
        <f t="shared" si="136"/>
        <v>0</v>
      </c>
      <c r="L341" s="182">
        <f t="shared" si="136"/>
        <v>0</v>
      </c>
      <c r="M341" s="182">
        <f t="shared" si="136"/>
        <v>0</v>
      </c>
      <c r="N341" s="182">
        <f t="shared" si="136"/>
        <v>0</v>
      </c>
      <c r="O341" s="182">
        <f t="shared" si="136"/>
        <v>0</v>
      </c>
      <c r="P341" s="182">
        <f t="shared" si="136"/>
        <v>0</v>
      </c>
      <c r="Q341" s="182">
        <f t="shared" si="136"/>
        <v>0</v>
      </c>
      <c r="R341" s="182">
        <f t="shared" si="136"/>
        <v>0</v>
      </c>
      <c r="S341" s="182">
        <f t="shared" si="136"/>
        <v>0</v>
      </c>
      <c r="T341" s="182">
        <f t="shared" si="136"/>
        <v>0</v>
      </c>
      <c r="U341" s="182">
        <f t="shared" si="136"/>
        <v>0</v>
      </c>
      <c r="V341" s="182">
        <f t="shared" si="136"/>
        <v>0</v>
      </c>
      <c r="W341" s="182">
        <f t="shared" si="136"/>
        <v>0</v>
      </c>
      <c r="X341" s="182">
        <f t="shared" si="136"/>
        <v>0</v>
      </c>
      <c r="Y341" s="182">
        <f t="shared" si="136"/>
        <v>0</v>
      </c>
      <c r="Z341" s="182">
        <f t="shared" si="136"/>
        <v>0</v>
      </c>
      <c r="AA341" s="182">
        <f t="shared" si="136"/>
        <v>0</v>
      </c>
      <c r="AB341" s="182">
        <f t="shared" si="136"/>
        <v>0</v>
      </c>
      <c r="AC341" s="182">
        <f t="shared" si="136"/>
        <v>0</v>
      </c>
      <c r="AD341" s="182">
        <f t="shared" si="136"/>
        <v>0</v>
      </c>
      <c r="AE341" s="182">
        <f t="shared" si="136"/>
        <v>0</v>
      </c>
      <c r="AF341" s="182">
        <f t="shared" si="136"/>
        <v>0</v>
      </c>
      <c r="AG341" s="182">
        <f t="shared" si="136"/>
        <v>0</v>
      </c>
      <c r="AH341" s="182">
        <f t="shared" si="136"/>
        <v>0</v>
      </c>
      <c r="AI341" s="182">
        <f t="shared" si="136"/>
        <v>0</v>
      </c>
      <c r="AJ341" s="182">
        <f t="shared" si="136"/>
        <v>0</v>
      </c>
      <c r="AK341" s="182">
        <f t="shared" si="136"/>
        <v>0</v>
      </c>
      <c r="AL341" s="182">
        <f t="shared" si="136"/>
        <v>0</v>
      </c>
      <c r="AM341" s="182">
        <f t="shared" si="136"/>
        <v>0</v>
      </c>
      <c r="AN341" s="14"/>
      <c r="AO341" s="14"/>
      <c r="AP341" s="14"/>
      <c r="AQ341" s="14"/>
      <c r="AR341" s="14"/>
      <c r="AS341" s="14"/>
      <c r="AT341" s="14"/>
      <c r="AU341" s="14"/>
      <c r="AV341" s="14"/>
    </row>
    <row r="342" s="7" customFormat="1" ht="31.05" hidden="1" customHeight="1" spans="1:48">
      <c r="A342" s="164"/>
      <c r="B342" s="164"/>
      <c r="C342" s="165" t="s">
        <v>51</v>
      </c>
      <c r="D342" s="175"/>
      <c r="E342" s="175"/>
      <c r="F342" s="180"/>
      <c r="G342" s="185"/>
      <c r="H342" s="135" t="s">
        <v>111</v>
      </c>
      <c r="I342" s="171">
        <f t="shared" ref="I342:AM342" si="137">IFERROR(I340/I338,0)</f>
        <v>0</v>
      </c>
      <c r="J342" s="171">
        <f t="shared" si="137"/>
        <v>0</v>
      </c>
      <c r="K342" s="171">
        <f t="shared" si="137"/>
        <v>0</v>
      </c>
      <c r="L342" s="171">
        <f t="shared" si="137"/>
        <v>0</v>
      </c>
      <c r="M342" s="171">
        <f t="shared" si="137"/>
        <v>0</v>
      </c>
      <c r="N342" s="171">
        <f t="shared" si="137"/>
        <v>0</v>
      </c>
      <c r="O342" s="171">
        <f t="shared" si="137"/>
        <v>0</v>
      </c>
      <c r="P342" s="171">
        <f t="shared" si="137"/>
        <v>0</v>
      </c>
      <c r="Q342" s="171">
        <f t="shared" si="137"/>
        <v>0</v>
      </c>
      <c r="R342" s="171">
        <f t="shared" si="137"/>
        <v>0</v>
      </c>
      <c r="S342" s="171">
        <f t="shared" si="137"/>
        <v>0</v>
      </c>
      <c r="T342" s="171">
        <f t="shared" si="137"/>
        <v>0</v>
      </c>
      <c r="U342" s="171">
        <f t="shared" si="137"/>
        <v>0</v>
      </c>
      <c r="V342" s="171">
        <f t="shared" si="137"/>
        <v>0</v>
      </c>
      <c r="W342" s="171">
        <f t="shared" si="137"/>
        <v>0</v>
      </c>
      <c r="X342" s="171">
        <f t="shared" si="137"/>
        <v>0</v>
      </c>
      <c r="Y342" s="171">
        <f t="shared" si="137"/>
        <v>0</v>
      </c>
      <c r="Z342" s="171">
        <f t="shared" si="137"/>
        <v>0</v>
      </c>
      <c r="AA342" s="171">
        <f t="shared" si="137"/>
        <v>0</v>
      </c>
      <c r="AB342" s="171">
        <f t="shared" si="137"/>
        <v>0</v>
      </c>
      <c r="AC342" s="171">
        <f t="shared" si="137"/>
        <v>0</v>
      </c>
      <c r="AD342" s="171">
        <f t="shared" si="137"/>
        <v>0</v>
      </c>
      <c r="AE342" s="171">
        <f t="shared" si="137"/>
        <v>0</v>
      </c>
      <c r="AF342" s="171">
        <f t="shared" si="137"/>
        <v>0</v>
      </c>
      <c r="AG342" s="171">
        <f t="shared" si="137"/>
        <v>0</v>
      </c>
      <c r="AH342" s="171">
        <f t="shared" si="137"/>
        <v>0</v>
      </c>
      <c r="AI342" s="171">
        <f t="shared" si="137"/>
        <v>0</v>
      </c>
      <c r="AJ342" s="171">
        <f t="shared" si="137"/>
        <v>0</v>
      </c>
      <c r="AK342" s="171">
        <f t="shared" si="137"/>
        <v>0</v>
      </c>
      <c r="AL342" s="171">
        <f t="shared" si="137"/>
        <v>0</v>
      </c>
      <c r="AM342" s="171">
        <f t="shared" si="137"/>
        <v>0</v>
      </c>
      <c r="AN342" s="14"/>
      <c r="AO342" s="14"/>
      <c r="AP342" s="14"/>
      <c r="AQ342" s="14"/>
      <c r="AR342" s="14"/>
      <c r="AS342" s="14"/>
      <c r="AT342" s="14"/>
      <c r="AU342" s="14"/>
      <c r="AV342" s="14"/>
    </row>
    <row r="343" s="7" customFormat="1" ht="31.05" hidden="1" customHeight="1" spans="1:48">
      <c r="A343" s="164"/>
      <c r="B343" s="164"/>
      <c r="C343" s="165" t="s">
        <v>51</v>
      </c>
      <c r="D343" s="175"/>
      <c r="E343" s="175"/>
      <c r="F343" s="175"/>
      <c r="G343" s="168" t="s">
        <v>38</v>
      </c>
      <c r="H343" s="169" t="s">
        <v>107</v>
      </c>
      <c r="I343" s="170">
        <f>SUM(J343:HU343)</f>
        <v>32569</v>
      </c>
      <c r="J343" s="171">
        <v>1627</v>
      </c>
      <c r="K343" s="171">
        <v>977</v>
      </c>
      <c r="L343" s="171">
        <v>1303</v>
      </c>
      <c r="M343" s="170">
        <v>1303</v>
      </c>
      <c r="N343" s="171">
        <v>977</v>
      </c>
      <c r="O343" s="171">
        <v>1303</v>
      </c>
      <c r="P343" s="170">
        <v>1140</v>
      </c>
      <c r="Q343" s="171">
        <v>977</v>
      </c>
      <c r="R343" s="171">
        <v>1140</v>
      </c>
      <c r="S343" s="170">
        <v>977</v>
      </c>
      <c r="T343" s="171">
        <v>977</v>
      </c>
      <c r="U343" s="171">
        <v>977</v>
      </c>
      <c r="V343" s="170">
        <v>977</v>
      </c>
      <c r="W343" s="171">
        <v>1303</v>
      </c>
      <c r="X343" s="171">
        <v>1303</v>
      </c>
      <c r="Y343" s="170">
        <v>1629</v>
      </c>
      <c r="Z343" s="171">
        <v>1303</v>
      </c>
      <c r="AA343" s="171">
        <v>1956</v>
      </c>
      <c r="AB343" s="170">
        <v>977</v>
      </c>
      <c r="AC343" s="171">
        <v>1303</v>
      </c>
      <c r="AD343" s="171">
        <v>814</v>
      </c>
      <c r="AE343" s="170">
        <v>814</v>
      </c>
      <c r="AF343" s="171">
        <v>814</v>
      </c>
      <c r="AG343" s="171">
        <v>814</v>
      </c>
      <c r="AH343" s="170">
        <v>814</v>
      </c>
      <c r="AI343" s="171">
        <v>814</v>
      </c>
      <c r="AJ343" s="171">
        <v>814</v>
      </c>
      <c r="AK343" s="173">
        <v>814</v>
      </c>
      <c r="AL343" s="182">
        <v>814</v>
      </c>
      <c r="AM343" s="182">
        <v>814</v>
      </c>
      <c r="AN343" s="14"/>
      <c r="AO343" s="14"/>
      <c r="AP343" s="14"/>
      <c r="AQ343" s="14"/>
      <c r="AR343" s="14"/>
      <c r="AS343" s="14"/>
      <c r="AT343" s="14"/>
      <c r="AU343" s="14"/>
      <c r="AV343" s="14"/>
    </row>
    <row r="344" s="7" customFormat="1" ht="31.05" hidden="1" customHeight="1" spans="1:48">
      <c r="A344" s="164"/>
      <c r="B344" s="164"/>
      <c r="C344" s="165" t="s">
        <v>51</v>
      </c>
      <c r="D344" s="175"/>
      <c r="E344" s="175"/>
      <c r="F344" s="175"/>
      <c r="G344" s="4"/>
      <c r="H344" s="135" t="s">
        <v>109</v>
      </c>
      <c r="I344" s="170" t="e">
        <f>SUM(J344:HU344)</f>
        <v>#REF!</v>
      </c>
      <c r="J344" s="171" t="e">
        <f t="shared" ref="J344:AM344" si="138">J335+J340</f>
        <v>#REF!</v>
      </c>
      <c r="K344" s="171" t="e">
        <f t="shared" si="138"/>
        <v>#REF!</v>
      </c>
      <c r="L344" s="171" t="e">
        <f t="shared" si="138"/>
        <v>#REF!</v>
      </c>
      <c r="M344" s="171" t="e">
        <f t="shared" si="138"/>
        <v>#REF!</v>
      </c>
      <c r="N344" s="171" t="e">
        <f t="shared" si="138"/>
        <v>#REF!</v>
      </c>
      <c r="O344" s="171" t="e">
        <f t="shared" si="138"/>
        <v>#REF!</v>
      </c>
      <c r="P344" s="171" t="e">
        <f t="shared" si="138"/>
        <v>#REF!</v>
      </c>
      <c r="Q344" s="171" t="e">
        <f t="shared" si="138"/>
        <v>#REF!</v>
      </c>
      <c r="R344" s="171" t="e">
        <f t="shared" si="138"/>
        <v>#REF!</v>
      </c>
      <c r="S344" s="171" t="e">
        <f t="shared" si="138"/>
        <v>#REF!</v>
      </c>
      <c r="T344" s="171" t="e">
        <f t="shared" si="138"/>
        <v>#REF!</v>
      </c>
      <c r="U344" s="171" t="e">
        <f t="shared" si="138"/>
        <v>#REF!</v>
      </c>
      <c r="V344" s="171" t="e">
        <f t="shared" si="138"/>
        <v>#REF!</v>
      </c>
      <c r="W344" s="171" t="e">
        <f t="shared" si="138"/>
        <v>#REF!</v>
      </c>
      <c r="X344" s="171" t="e">
        <f t="shared" si="138"/>
        <v>#REF!</v>
      </c>
      <c r="Y344" s="171" t="e">
        <f t="shared" si="138"/>
        <v>#REF!</v>
      </c>
      <c r="Z344" s="171" t="e">
        <f t="shared" si="138"/>
        <v>#REF!</v>
      </c>
      <c r="AA344" s="171" t="e">
        <f t="shared" si="138"/>
        <v>#REF!</v>
      </c>
      <c r="AB344" s="171" t="e">
        <f t="shared" si="138"/>
        <v>#REF!</v>
      </c>
      <c r="AC344" s="171" t="e">
        <f t="shared" si="138"/>
        <v>#REF!</v>
      </c>
      <c r="AD344" s="171" t="e">
        <f t="shared" si="138"/>
        <v>#REF!</v>
      </c>
      <c r="AE344" s="171" t="e">
        <f t="shared" si="138"/>
        <v>#REF!</v>
      </c>
      <c r="AF344" s="171" t="e">
        <f t="shared" si="138"/>
        <v>#REF!</v>
      </c>
      <c r="AG344" s="171" t="e">
        <f t="shared" si="138"/>
        <v>#REF!</v>
      </c>
      <c r="AH344" s="171" t="e">
        <f t="shared" si="138"/>
        <v>#REF!</v>
      </c>
      <c r="AI344" s="171" t="e">
        <f t="shared" si="138"/>
        <v>#REF!</v>
      </c>
      <c r="AJ344" s="171" t="e">
        <f t="shared" si="138"/>
        <v>#REF!</v>
      </c>
      <c r="AK344" s="171" t="e">
        <f t="shared" si="138"/>
        <v>#REF!</v>
      </c>
      <c r="AL344" s="171" t="e">
        <f t="shared" si="138"/>
        <v>#REF!</v>
      </c>
      <c r="AM344" s="171" t="e">
        <f t="shared" si="138"/>
        <v>#REF!</v>
      </c>
      <c r="AN344" s="14"/>
      <c r="AO344" s="14"/>
      <c r="AP344" s="14"/>
      <c r="AQ344" s="14"/>
      <c r="AR344" s="14"/>
      <c r="AS344" s="14"/>
      <c r="AT344" s="14"/>
      <c r="AU344" s="14"/>
      <c r="AV344" s="14"/>
    </row>
    <row r="345" s="7" customFormat="1" ht="31.05" hidden="1" customHeight="1" spans="1:48">
      <c r="A345" s="164"/>
      <c r="B345" s="164"/>
      <c r="C345" s="165" t="s">
        <v>51</v>
      </c>
      <c r="D345" s="186"/>
      <c r="E345" s="186"/>
      <c r="F345" s="184"/>
      <c r="G345" s="185"/>
      <c r="H345" s="135" t="s">
        <v>111</v>
      </c>
      <c r="I345" s="171">
        <f t="shared" ref="I345:AM345" si="139">IFERROR(I344/I343,0)</f>
        <v>0</v>
      </c>
      <c r="J345" s="171">
        <f t="shared" si="139"/>
        <v>0</v>
      </c>
      <c r="K345" s="171">
        <f t="shared" si="139"/>
        <v>0</v>
      </c>
      <c r="L345" s="171">
        <f t="shared" si="139"/>
        <v>0</v>
      </c>
      <c r="M345" s="171">
        <f t="shared" si="139"/>
        <v>0</v>
      </c>
      <c r="N345" s="171">
        <f t="shared" si="139"/>
        <v>0</v>
      </c>
      <c r="O345" s="171">
        <f t="shared" si="139"/>
        <v>0</v>
      </c>
      <c r="P345" s="171">
        <f t="shared" si="139"/>
        <v>0</v>
      </c>
      <c r="Q345" s="171">
        <f t="shared" si="139"/>
        <v>0</v>
      </c>
      <c r="R345" s="171">
        <f t="shared" si="139"/>
        <v>0</v>
      </c>
      <c r="S345" s="171">
        <f t="shared" si="139"/>
        <v>0</v>
      </c>
      <c r="T345" s="171">
        <f t="shared" si="139"/>
        <v>0</v>
      </c>
      <c r="U345" s="171">
        <f t="shared" si="139"/>
        <v>0</v>
      </c>
      <c r="V345" s="171">
        <f t="shared" si="139"/>
        <v>0</v>
      </c>
      <c r="W345" s="171">
        <f t="shared" si="139"/>
        <v>0</v>
      </c>
      <c r="X345" s="171">
        <f t="shared" si="139"/>
        <v>0</v>
      </c>
      <c r="Y345" s="171">
        <f t="shared" si="139"/>
        <v>0</v>
      </c>
      <c r="Z345" s="171">
        <f t="shared" si="139"/>
        <v>0</v>
      </c>
      <c r="AA345" s="171">
        <f t="shared" si="139"/>
        <v>0</v>
      </c>
      <c r="AB345" s="171">
        <f t="shared" si="139"/>
        <v>0</v>
      </c>
      <c r="AC345" s="171">
        <f t="shared" si="139"/>
        <v>0</v>
      </c>
      <c r="AD345" s="171">
        <f t="shared" si="139"/>
        <v>0</v>
      </c>
      <c r="AE345" s="171">
        <f t="shared" si="139"/>
        <v>0</v>
      </c>
      <c r="AF345" s="171">
        <f t="shared" si="139"/>
        <v>0</v>
      </c>
      <c r="AG345" s="171">
        <f t="shared" si="139"/>
        <v>0</v>
      </c>
      <c r="AH345" s="171">
        <f t="shared" si="139"/>
        <v>0</v>
      </c>
      <c r="AI345" s="171">
        <f t="shared" si="139"/>
        <v>0</v>
      </c>
      <c r="AJ345" s="171">
        <f t="shared" si="139"/>
        <v>0</v>
      </c>
      <c r="AK345" s="171">
        <f t="shared" si="139"/>
        <v>0</v>
      </c>
      <c r="AL345" s="171">
        <f t="shared" si="139"/>
        <v>0</v>
      </c>
      <c r="AM345" s="171">
        <f t="shared" si="139"/>
        <v>0</v>
      </c>
      <c r="AN345" s="14"/>
      <c r="AO345" s="14"/>
      <c r="AP345" s="14"/>
      <c r="AQ345" s="14"/>
      <c r="AR345" s="14"/>
      <c r="AS345" s="14"/>
      <c r="AT345" s="14"/>
      <c r="AU345" s="14"/>
      <c r="AV345" s="14"/>
    </row>
    <row r="346" s="7" customFormat="1" ht="31.05" hidden="1" customHeight="1" spans="1:48">
      <c r="A346" s="164"/>
      <c r="B346" s="164"/>
      <c r="C346" s="165" t="s">
        <v>51</v>
      </c>
      <c r="D346" s="167" t="s">
        <v>91</v>
      </c>
      <c r="E346" s="187">
        <v>0.4</v>
      </c>
      <c r="F346" s="167" t="e">
        <f>I357/$I$383</f>
        <v>#REF!</v>
      </c>
      <c r="G346" s="168" t="s">
        <v>106</v>
      </c>
      <c r="H346" s="169" t="s">
        <v>107</v>
      </c>
      <c r="I346" s="170">
        <f>SUM(J346:HU346)</f>
        <v>45613</v>
      </c>
      <c r="J346" s="171">
        <v>2274</v>
      </c>
      <c r="K346" s="171">
        <v>1369</v>
      </c>
      <c r="L346" s="171">
        <v>1825</v>
      </c>
      <c r="M346" s="171">
        <v>1825</v>
      </c>
      <c r="N346" s="171">
        <v>1369</v>
      </c>
      <c r="O346" s="171">
        <v>1825</v>
      </c>
      <c r="P346" s="171">
        <v>1597</v>
      </c>
      <c r="Q346" s="171">
        <v>1369</v>
      </c>
      <c r="R346" s="171">
        <v>1597</v>
      </c>
      <c r="S346" s="171">
        <v>1369</v>
      </c>
      <c r="T346" s="171">
        <v>1369</v>
      </c>
      <c r="U346" s="171">
        <v>1369</v>
      </c>
      <c r="V346" s="171">
        <v>1369</v>
      </c>
      <c r="W346" s="171">
        <v>1825</v>
      </c>
      <c r="X346" s="171">
        <v>1825</v>
      </c>
      <c r="Y346" s="171">
        <v>2281</v>
      </c>
      <c r="Z346" s="171">
        <v>1825</v>
      </c>
      <c r="AA346" s="171">
        <v>2737</v>
      </c>
      <c r="AB346" s="171">
        <v>1369</v>
      </c>
      <c r="AC346" s="171">
        <v>1825</v>
      </c>
      <c r="AD346" s="171">
        <v>1140</v>
      </c>
      <c r="AE346" s="171">
        <v>1140</v>
      </c>
      <c r="AF346" s="171">
        <v>1140</v>
      </c>
      <c r="AG346" s="171">
        <v>1140</v>
      </c>
      <c r="AH346" s="171">
        <v>1140</v>
      </c>
      <c r="AI346" s="171">
        <v>1140</v>
      </c>
      <c r="AJ346" s="171">
        <v>1140</v>
      </c>
      <c r="AK346" s="182">
        <v>1140</v>
      </c>
      <c r="AL346" s="182">
        <v>1140</v>
      </c>
      <c r="AM346" s="182">
        <v>1140</v>
      </c>
      <c r="AN346" s="14"/>
      <c r="AO346" s="14"/>
      <c r="AP346" s="14"/>
      <c r="AQ346" s="14"/>
      <c r="AR346" s="14"/>
      <c r="AS346" s="14"/>
      <c r="AT346" s="14"/>
      <c r="AU346" s="14"/>
      <c r="AV346" s="14"/>
    </row>
    <row r="347" s="7" customFormat="1" ht="31.05" hidden="1" customHeight="1" spans="1:48">
      <c r="A347" s="164"/>
      <c r="B347" s="164"/>
      <c r="C347" s="165" t="s">
        <v>51</v>
      </c>
      <c r="D347" s="175"/>
      <c r="E347" s="188"/>
      <c r="F347" s="175"/>
      <c r="G347" s="4"/>
      <c r="H347" s="169" t="s">
        <v>108</v>
      </c>
      <c r="I347" s="176">
        <v>0.7</v>
      </c>
      <c r="J347" s="176">
        <v>0.7</v>
      </c>
      <c r="K347" s="176">
        <v>0.7</v>
      </c>
      <c r="L347" s="176">
        <v>0.7</v>
      </c>
      <c r="M347" s="176">
        <v>0.7</v>
      </c>
      <c r="N347" s="176">
        <v>0.7</v>
      </c>
      <c r="O347" s="176">
        <v>0.7</v>
      </c>
      <c r="P347" s="176">
        <v>0.7</v>
      </c>
      <c r="Q347" s="176">
        <v>0.7</v>
      </c>
      <c r="R347" s="176">
        <v>0.7</v>
      </c>
      <c r="S347" s="176">
        <v>0.7</v>
      </c>
      <c r="T347" s="176">
        <v>0.7</v>
      </c>
      <c r="U347" s="176">
        <v>0.7</v>
      </c>
      <c r="V347" s="176">
        <v>0.7</v>
      </c>
      <c r="W347" s="176">
        <v>0.7</v>
      </c>
      <c r="X347" s="176">
        <v>0.7</v>
      </c>
      <c r="Y347" s="176">
        <v>0.7</v>
      </c>
      <c r="Z347" s="176">
        <v>0.7</v>
      </c>
      <c r="AA347" s="176">
        <v>0.7</v>
      </c>
      <c r="AB347" s="176">
        <v>0.7</v>
      </c>
      <c r="AC347" s="176">
        <v>0.7</v>
      </c>
      <c r="AD347" s="176">
        <v>0.7</v>
      </c>
      <c r="AE347" s="176">
        <v>0.7</v>
      </c>
      <c r="AF347" s="176">
        <v>0.7</v>
      </c>
      <c r="AG347" s="176">
        <v>0.7</v>
      </c>
      <c r="AH347" s="176">
        <v>0.7</v>
      </c>
      <c r="AI347" s="176">
        <v>0.7</v>
      </c>
      <c r="AJ347" s="176">
        <v>0.7</v>
      </c>
      <c r="AK347" s="177">
        <v>0.7</v>
      </c>
      <c r="AL347" s="177">
        <v>0.7</v>
      </c>
      <c r="AM347" s="177">
        <v>0.7</v>
      </c>
      <c r="AN347" s="14"/>
      <c r="AO347" s="14"/>
      <c r="AP347" s="14"/>
      <c r="AQ347" s="14"/>
      <c r="AR347" s="14"/>
      <c r="AS347" s="14"/>
      <c r="AT347" s="14"/>
      <c r="AU347" s="14"/>
      <c r="AV347" s="14"/>
    </row>
    <row r="348" s="7" customFormat="1" ht="31.05" hidden="1" customHeight="1" spans="1:48">
      <c r="A348" s="164"/>
      <c r="B348" s="164"/>
      <c r="C348" s="165" t="s">
        <v>51</v>
      </c>
      <c r="D348" s="175"/>
      <c r="E348" s="188"/>
      <c r="F348" s="175"/>
      <c r="G348" s="4"/>
      <c r="H348" s="135" t="s">
        <v>109</v>
      </c>
      <c r="I348" s="170" t="e">
        <f>SUM(J348:HU348)</f>
        <v>#REF!</v>
      </c>
      <c r="J348" s="170" t="e">
        <f>SUMIFS(#REF!,#REF!,$C346&amp;J$319&amp;$D$346&amp;$G$346)</f>
        <v>#REF!</v>
      </c>
      <c r="K348" s="170" t="e">
        <f>SUMIFS(#REF!,#REF!,$C346&amp;K$319&amp;$D$346&amp;$G$346)</f>
        <v>#REF!</v>
      </c>
      <c r="L348" s="170" t="e">
        <f>SUMIFS(#REF!,#REF!,$C346&amp;L$319&amp;$D$346&amp;$G$346)</f>
        <v>#REF!</v>
      </c>
      <c r="M348" s="170" t="e">
        <f>SUMIFS(#REF!,#REF!,$C346&amp;M$319&amp;$D$346&amp;$G$346)</f>
        <v>#REF!</v>
      </c>
      <c r="N348" s="170" t="e">
        <f>SUMIFS(#REF!,#REF!,$C346&amp;N$319&amp;$D$346&amp;$G$346)</f>
        <v>#REF!</v>
      </c>
      <c r="O348" s="170" t="e">
        <f>SUMIFS(#REF!,#REF!,$C346&amp;O$319&amp;$D$346&amp;$G$346)</f>
        <v>#REF!</v>
      </c>
      <c r="P348" s="170" t="e">
        <f>SUMIFS(#REF!,#REF!,$C346&amp;P$319&amp;$D$346&amp;$G$346)</f>
        <v>#REF!</v>
      </c>
      <c r="Q348" s="170" t="e">
        <f>SUMIFS(#REF!,#REF!,$C346&amp;Q$319&amp;$D$346&amp;$G$346)</f>
        <v>#REF!</v>
      </c>
      <c r="R348" s="170" t="e">
        <f>SUMIFS(#REF!,#REF!,$C346&amp;R$319&amp;$D$346&amp;$G$346)</f>
        <v>#REF!</v>
      </c>
      <c r="S348" s="170" t="e">
        <f>SUMIFS(#REF!,#REF!,$C346&amp;S$319&amp;$D$346&amp;$G$346)</f>
        <v>#REF!</v>
      </c>
      <c r="T348" s="170" t="e">
        <f>SUMIFS(#REF!,#REF!,$C346&amp;T$319&amp;$D$346&amp;$G$346)</f>
        <v>#REF!</v>
      </c>
      <c r="U348" s="170" t="e">
        <f>SUMIFS(#REF!,#REF!,$C346&amp;U$319&amp;$D$346&amp;$G$346)</f>
        <v>#REF!</v>
      </c>
      <c r="V348" s="170" t="e">
        <f>SUMIFS(#REF!,#REF!,$C346&amp;V$319&amp;$D$346&amp;$G$346)</f>
        <v>#REF!</v>
      </c>
      <c r="W348" s="170" t="e">
        <f>SUMIFS(#REF!,#REF!,$C346&amp;W$319&amp;$D$346&amp;$G$346)</f>
        <v>#REF!</v>
      </c>
      <c r="X348" s="170" t="e">
        <f>SUMIFS(#REF!,#REF!,$C346&amp;X$319&amp;$D$346&amp;$G$346)</f>
        <v>#REF!</v>
      </c>
      <c r="Y348" s="170" t="e">
        <f>SUMIFS(#REF!,#REF!,$C346&amp;Y$319&amp;$D$346&amp;$G$346)</f>
        <v>#REF!</v>
      </c>
      <c r="Z348" s="170" t="e">
        <f>SUMIFS(#REF!,#REF!,$C346&amp;Z$319&amp;$D$346&amp;$G$346)</f>
        <v>#REF!</v>
      </c>
      <c r="AA348" s="170" t="e">
        <f>SUMIFS(#REF!,#REF!,$C346&amp;AA$319&amp;$D$346&amp;$G$346)</f>
        <v>#REF!</v>
      </c>
      <c r="AB348" s="170" t="e">
        <f>SUMIFS(#REF!,#REF!,$C346&amp;AB$319&amp;$D$346&amp;$G$346)</f>
        <v>#REF!</v>
      </c>
      <c r="AC348" s="170" t="e">
        <f>SUMIFS(#REF!,#REF!,$C346&amp;AC$319&amp;$D$346&amp;$G$346)</f>
        <v>#REF!</v>
      </c>
      <c r="AD348" s="170" t="e">
        <f>SUMIFS(#REF!,#REF!,$C346&amp;AD$319&amp;$D$346&amp;$G$346)</f>
        <v>#REF!</v>
      </c>
      <c r="AE348" s="170" t="e">
        <f>SUMIFS(#REF!,#REF!,$C346&amp;AE$319&amp;$D$346&amp;$G$346)</f>
        <v>#REF!</v>
      </c>
      <c r="AF348" s="170" t="e">
        <f>SUMIFS(#REF!,#REF!,$C346&amp;AF$319&amp;$D$346&amp;$G$346)</f>
        <v>#REF!</v>
      </c>
      <c r="AG348" s="170" t="e">
        <f>SUMIFS(#REF!,#REF!,$C346&amp;AG$319&amp;$D$346&amp;$G$346)</f>
        <v>#REF!</v>
      </c>
      <c r="AH348" s="170" t="e">
        <f>SUMIFS(#REF!,#REF!,$C346&amp;AH$319&amp;$D$346&amp;$G$346)</f>
        <v>#REF!</v>
      </c>
      <c r="AI348" s="170" t="e">
        <f>SUMIFS(#REF!,#REF!,$C346&amp;AI$319&amp;$D$346&amp;$G$346)</f>
        <v>#REF!</v>
      </c>
      <c r="AJ348" s="170" t="e">
        <f>SUMIFS(#REF!,#REF!,$C346&amp;AJ$319&amp;$D$346&amp;$G$346)</f>
        <v>#REF!</v>
      </c>
      <c r="AK348" s="170" t="e">
        <f>SUMIFS(#REF!,#REF!,$C346&amp;AK$319&amp;$D$346&amp;$G$346)</f>
        <v>#REF!</v>
      </c>
      <c r="AL348" s="170" t="e">
        <f>SUMIFS(#REF!,#REF!,$C346&amp;AL$319&amp;$D$346&amp;$G$346)</f>
        <v>#REF!</v>
      </c>
      <c r="AM348" s="170" t="e">
        <f>SUMIFS(#REF!,#REF!,$C346&amp;AM$319&amp;$D$346&amp;$G$346)</f>
        <v>#REF!</v>
      </c>
      <c r="AN348" s="14"/>
      <c r="AO348" s="14"/>
      <c r="AP348" s="14"/>
      <c r="AQ348" s="14"/>
      <c r="AR348" s="14"/>
      <c r="AS348" s="14"/>
      <c r="AT348" s="14"/>
      <c r="AU348" s="14"/>
      <c r="AV348" s="14"/>
    </row>
    <row r="349" s="8" customFormat="1" ht="31.05" hidden="1" customHeight="1" spans="1:48">
      <c r="A349" s="19"/>
      <c r="B349" s="19"/>
      <c r="C349" s="178" t="s">
        <v>51</v>
      </c>
      <c r="D349" s="180"/>
      <c r="E349" s="189"/>
      <c r="F349" s="180"/>
      <c r="G349" s="69"/>
      <c r="H349" s="142" t="s">
        <v>110</v>
      </c>
      <c r="I349" s="177">
        <f t="shared" ref="I349:AM349" si="140">IFERROR(I348/I$357,0)</f>
        <v>0</v>
      </c>
      <c r="J349" s="177">
        <f t="shared" si="140"/>
        <v>0</v>
      </c>
      <c r="K349" s="177">
        <f t="shared" si="140"/>
        <v>0</v>
      </c>
      <c r="L349" s="177">
        <f t="shared" si="140"/>
        <v>0</v>
      </c>
      <c r="M349" s="177">
        <f t="shared" si="140"/>
        <v>0</v>
      </c>
      <c r="N349" s="177">
        <f t="shared" si="140"/>
        <v>0</v>
      </c>
      <c r="O349" s="177">
        <f t="shared" si="140"/>
        <v>0</v>
      </c>
      <c r="P349" s="177">
        <f t="shared" si="140"/>
        <v>0</v>
      </c>
      <c r="Q349" s="177">
        <f t="shared" si="140"/>
        <v>0</v>
      </c>
      <c r="R349" s="177">
        <f t="shared" si="140"/>
        <v>0</v>
      </c>
      <c r="S349" s="177">
        <f t="shared" si="140"/>
        <v>0</v>
      </c>
      <c r="T349" s="177">
        <f t="shared" si="140"/>
        <v>0</v>
      </c>
      <c r="U349" s="177">
        <f t="shared" si="140"/>
        <v>0</v>
      </c>
      <c r="V349" s="177">
        <f t="shared" si="140"/>
        <v>0</v>
      </c>
      <c r="W349" s="177">
        <f t="shared" si="140"/>
        <v>0</v>
      </c>
      <c r="X349" s="177">
        <f t="shared" si="140"/>
        <v>0</v>
      </c>
      <c r="Y349" s="177">
        <f t="shared" si="140"/>
        <v>0</v>
      </c>
      <c r="Z349" s="177">
        <f t="shared" si="140"/>
        <v>0</v>
      </c>
      <c r="AA349" s="177">
        <f t="shared" si="140"/>
        <v>0</v>
      </c>
      <c r="AB349" s="177">
        <f t="shared" si="140"/>
        <v>0</v>
      </c>
      <c r="AC349" s="177">
        <f t="shared" si="140"/>
        <v>0</v>
      </c>
      <c r="AD349" s="177">
        <f t="shared" si="140"/>
        <v>0</v>
      </c>
      <c r="AE349" s="177">
        <f t="shared" si="140"/>
        <v>0</v>
      </c>
      <c r="AF349" s="177">
        <f t="shared" si="140"/>
        <v>0</v>
      </c>
      <c r="AG349" s="177">
        <f t="shared" si="140"/>
        <v>0</v>
      </c>
      <c r="AH349" s="177">
        <f t="shared" si="140"/>
        <v>0</v>
      </c>
      <c r="AI349" s="177">
        <f t="shared" si="140"/>
        <v>0</v>
      </c>
      <c r="AJ349" s="177">
        <f t="shared" si="140"/>
        <v>0</v>
      </c>
      <c r="AK349" s="177">
        <f t="shared" si="140"/>
        <v>0</v>
      </c>
      <c r="AL349" s="177">
        <f t="shared" si="140"/>
        <v>0</v>
      </c>
      <c r="AM349" s="177">
        <f t="shared" si="140"/>
        <v>0</v>
      </c>
      <c r="AN349" s="18"/>
      <c r="AO349" s="18"/>
      <c r="AP349" s="18"/>
      <c r="AQ349" s="18"/>
      <c r="AR349" s="18"/>
      <c r="AS349" s="18"/>
      <c r="AT349" s="18"/>
      <c r="AU349" s="18"/>
      <c r="AV349" s="18"/>
    </row>
    <row r="350" s="8" customFormat="1" ht="31.05" hidden="1" customHeight="1" spans="1:48">
      <c r="A350" s="19"/>
      <c r="B350" s="19"/>
      <c r="C350" s="178" t="s">
        <v>51</v>
      </c>
      <c r="D350" s="180"/>
      <c r="E350" s="189"/>
      <c r="F350" s="180"/>
      <c r="G350" s="181"/>
      <c r="H350" s="142" t="s">
        <v>111</v>
      </c>
      <c r="I350" s="176">
        <f t="shared" ref="I350:AM350" si="141">IFERROR(I348/I346,0)</f>
        <v>0</v>
      </c>
      <c r="J350" s="176">
        <f t="shared" si="141"/>
        <v>0</v>
      </c>
      <c r="K350" s="176">
        <f t="shared" si="141"/>
        <v>0</v>
      </c>
      <c r="L350" s="176">
        <f t="shared" si="141"/>
        <v>0</v>
      </c>
      <c r="M350" s="176">
        <f t="shared" si="141"/>
        <v>0</v>
      </c>
      <c r="N350" s="176">
        <f t="shared" si="141"/>
        <v>0</v>
      </c>
      <c r="O350" s="176">
        <f t="shared" si="141"/>
        <v>0</v>
      </c>
      <c r="P350" s="176">
        <f t="shared" si="141"/>
        <v>0</v>
      </c>
      <c r="Q350" s="176">
        <f t="shared" si="141"/>
        <v>0</v>
      </c>
      <c r="R350" s="176">
        <f t="shared" si="141"/>
        <v>0</v>
      </c>
      <c r="S350" s="176">
        <f t="shared" si="141"/>
        <v>0</v>
      </c>
      <c r="T350" s="176">
        <f t="shared" si="141"/>
        <v>0</v>
      </c>
      <c r="U350" s="176">
        <f t="shared" si="141"/>
        <v>0</v>
      </c>
      <c r="V350" s="176">
        <f t="shared" si="141"/>
        <v>0</v>
      </c>
      <c r="W350" s="176">
        <f t="shared" si="141"/>
        <v>0</v>
      </c>
      <c r="X350" s="176">
        <f t="shared" si="141"/>
        <v>0</v>
      </c>
      <c r="Y350" s="176">
        <f t="shared" si="141"/>
        <v>0</v>
      </c>
      <c r="Z350" s="176">
        <f t="shared" si="141"/>
        <v>0</v>
      </c>
      <c r="AA350" s="176">
        <f t="shared" si="141"/>
        <v>0</v>
      </c>
      <c r="AB350" s="176">
        <f t="shared" si="141"/>
        <v>0</v>
      </c>
      <c r="AC350" s="176">
        <f t="shared" si="141"/>
        <v>0</v>
      </c>
      <c r="AD350" s="176">
        <f t="shared" si="141"/>
        <v>0</v>
      </c>
      <c r="AE350" s="176">
        <f t="shared" si="141"/>
        <v>0</v>
      </c>
      <c r="AF350" s="176">
        <f t="shared" si="141"/>
        <v>0</v>
      </c>
      <c r="AG350" s="176">
        <f t="shared" si="141"/>
        <v>0</v>
      </c>
      <c r="AH350" s="176">
        <f t="shared" si="141"/>
        <v>0</v>
      </c>
      <c r="AI350" s="176">
        <f t="shared" si="141"/>
        <v>0</v>
      </c>
      <c r="AJ350" s="176">
        <f t="shared" si="141"/>
        <v>0</v>
      </c>
      <c r="AK350" s="176">
        <f t="shared" si="141"/>
        <v>0</v>
      </c>
      <c r="AL350" s="176">
        <f t="shared" si="141"/>
        <v>0</v>
      </c>
      <c r="AM350" s="176">
        <f t="shared" si="141"/>
        <v>0</v>
      </c>
      <c r="AN350" s="18"/>
      <c r="AO350" s="18"/>
      <c r="AP350" s="18"/>
      <c r="AQ350" s="18"/>
      <c r="AR350" s="18"/>
      <c r="AS350" s="18"/>
      <c r="AT350" s="18"/>
      <c r="AU350" s="18"/>
      <c r="AV350" s="18"/>
    </row>
    <row r="351" s="7" customFormat="1" ht="31.05" hidden="1" customHeight="1" spans="1:48">
      <c r="A351" s="164"/>
      <c r="B351" s="164"/>
      <c r="C351" s="165" t="s">
        <v>51</v>
      </c>
      <c r="D351" s="175"/>
      <c r="E351" s="188"/>
      <c r="F351" s="175"/>
      <c r="G351" s="168" t="s">
        <v>112</v>
      </c>
      <c r="H351" s="169" t="s">
        <v>107</v>
      </c>
      <c r="I351" s="170">
        <f>SUM(J351:HU351)</f>
        <v>19557</v>
      </c>
      <c r="J351" s="171">
        <v>978</v>
      </c>
      <c r="K351" s="171">
        <v>587</v>
      </c>
      <c r="L351" s="171">
        <v>782</v>
      </c>
      <c r="M351" s="171">
        <v>782</v>
      </c>
      <c r="N351" s="171">
        <v>587</v>
      </c>
      <c r="O351" s="171">
        <v>782</v>
      </c>
      <c r="P351" s="171">
        <v>684</v>
      </c>
      <c r="Q351" s="171">
        <v>587</v>
      </c>
      <c r="R351" s="171">
        <v>684</v>
      </c>
      <c r="S351" s="171">
        <v>587</v>
      </c>
      <c r="T351" s="171">
        <v>587</v>
      </c>
      <c r="U351" s="171">
        <v>587</v>
      </c>
      <c r="V351" s="171">
        <v>587</v>
      </c>
      <c r="W351" s="171">
        <v>782</v>
      </c>
      <c r="X351" s="171">
        <v>782</v>
      </c>
      <c r="Y351" s="171">
        <v>978</v>
      </c>
      <c r="Z351" s="171">
        <v>782</v>
      </c>
      <c r="AA351" s="171">
        <v>1173</v>
      </c>
      <c r="AB351" s="171">
        <v>587</v>
      </c>
      <c r="AC351" s="171">
        <v>782</v>
      </c>
      <c r="AD351" s="171">
        <v>489</v>
      </c>
      <c r="AE351" s="171">
        <v>489</v>
      </c>
      <c r="AF351" s="171">
        <v>489</v>
      </c>
      <c r="AG351" s="171">
        <v>489</v>
      </c>
      <c r="AH351" s="171">
        <v>489</v>
      </c>
      <c r="AI351" s="171">
        <v>489</v>
      </c>
      <c r="AJ351" s="171">
        <v>489</v>
      </c>
      <c r="AK351" s="182">
        <v>489</v>
      </c>
      <c r="AL351" s="182">
        <v>489</v>
      </c>
      <c r="AM351" s="182">
        <v>489</v>
      </c>
      <c r="AN351" s="14"/>
      <c r="AO351" s="14"/>
      <c r="AP351" s="14"/>
      <c r="AQ351" s="14"/>
      <c r="AR351" s="14"/>
      <c r="AS351" s="14"/>
      <c r="AT351" s="14"/>
      <c r="AU351" s="14"/>
      <c r="AV351" s="14"/>
    </row>
    <row r="352" s="7" customFormat="1" ht="31.05" hidden="1" customHeight="1" spans="1:48">
      <c r="A352" s="164"/>
      <c r="B352" s="164"/>
      <c r="C352" s="165" t="s">
        <v>51</v>
      </c>
      <c r="D352" s="175"/>
      <c r="E352" s="188"/>
      <c r="F352" s="175"/>
      <c r="G352" s="4"/>
      <c r="H352" s="169" t="s">
        <v>108</v>
      </c>
      <c r="I352" s="176">
        <v>0.3</v>
      </c>
      <c r="J352" s="176">
        <v>0.3</v>
      </c>
      <c r="K352" s="176">
        <v>0.3</v>
      </c>
      <c r="L352" s="176">
        <v>0.3</v>
      </c>
      <c r="M352" s="176">
        <v>0.3</v>
      </c>
      <c r="N352" s="176">
        <v>0.3</v>
      </c>
      <c r="O352" s="176">
        <v>0.3</v>
      </c>
      <c r="P352" s="176">
        <v>0.3</v>
      </c>
      <c r="Q352" s="176">
        <v>0.3</v>
      </c>
      <c r="R352" s="176">
        <v>0.3</v>
      </c>
      <c r="S352" s="176">
        <v>0.3</v>
      </c>
      <c r="T352" s="176">
        <v>0.3</v>
      </c>
      <c r="U352" s="176">
        <v>0.3</v>
      </c>
      <c r="V352" s="176">
        <v>0.3</v>
      </c>
      <c r="W352" s="176">
        <v>0.3</v>
      </c>
      <c r="X352" s="176">
        <v>0.3</v>
      </c>
      <c r="Y352" s="176">
        <v>0.3</v>
      </c>
      <c r="Z352" s="176">
        <v>0.3</v>
      </c>
      <c r="AA352" s="176">
        <v>0.3</v>
      </c>
      <c r="AB352" s="176">
        <v>0.3</v>
      </c>
      <c r="AC352" s="176">
        <v>0.3</v>
      </c>
      <c r="AD352" s="176">
        <v>0.3</v>
      </c>
      <c r="AE352" s="176">
        <v>0.3</v>
      </c>
      <c r="AF352" s="176">
        <v>0.3</v>
      </c>
      <c r="AG352" s="176">
        <v>0.3</v>
      </c>
      <c r="AH352" s="176">
        <v>0.3</v>
      </c>
      <c r="AI352" s="176">
        <v>0.3</v>
      </c>
      <c r="AJ352" s="176">
        <v>0.3</v>
      </c>
      <c r="AK352" s="177">
        <v>0.3</v>
      </c>
      <c r="AL352" s="177">
        <v>0.3</v>
      </c>
      <c r="AM352" s="177">
        <v>0.3</v>
      </c>
      <c r="AN352" s="14"/>
      <c r="AO352" s="14"/>
      <c r="AP352" s="14"/>
      <c r="AQ352" s="14"/>
      <c r="AR352" s="14"/>
      <c r="AS352" s="14"/>
      <c r="AT352" s="14"/>
      <c r="AU352" s="14"/>
      <c r="AV352" s="14"/>
    </row>
    <row r="353" s="7" customFormat="1" ht="31.05" hidden="1" customHeight="1" spans="1:48">
      <c r="A353" s="164"/>
      <c r="B353" s="164"/>
      <c r="C353" s="165" t="s">
        <v>51</v>
      </c>
      <c r="D353" s="175"/>
      <c r="E353" s="188"/>
      <c r="F353" s="175"/>
      <c r="G353" s="4"/>
      <c r="H353" s="135" t="s">
        <v>109</v>
      </c>
      <c r="I353" s="170" t="e">
        <f>SUM(J353:HU353)</f>
        <v>#REF!</v>
      </c>
      <c r="J353" s="170" t="e">
        <f>SUMIFS(#REF!,#REF!,$C351&amp;J$319&amp;$D$346&amp;$G$351)</f>
        <v>#REF!</v>
      </c>
      <c r="K353" s="170" t="e">
        <f>SUMIFS(#REF!,#REF!,$C351&amp;K$319&amp;$D$346&amp;$G$351)</f>
        <v>#REF!</v>
      </c>
      <c r="L353" s="170" t="e">
        <f>SUMIFS(#REF!,#REF!,$C351&amp;L$319&amp;$D$346&amp;$G$351)</f>
        <v>#REF!</v>
      </c>
      <c r="M353" s="170" t="e">
        <f>SUMIFS(#REF!,#REF!,$C351&amp;M$319&amp;$D$346&amp;$G$351)</f>
        <v>#REF!</v>
      </c>
      <c r="N353" s="170" t="e">
        <f>SUMIFS(#REF!,#REF!,$C351&amp;N$319&amp;$D$346&amp;$G$351)</f>
        <v>#REF!</v>
      </c>
      <c r="O353" s="170" t="e">
        <f>SUMIFS(#REF!,#REF!,$C351&amp;O$319&amp;$D$346&amp;$G$351)</f>
        <v>#REF!</v>
      </c>
      <c r="P353" s="170" t="e">
        <f>SUMIFS(#REF!,#REF!,$C351&amp;P$319&amp;$D$346&amp;$G$351)</f>
        <v>#REF!</v>
      </c>
      <c r="Q353" s="170" t="e">
        <f>SUMIFS(#REF!,#REF!,$C351&amp;Q$319&amp;$D$346&amp;$G$351)</f>
        <v>#REF!</v>
      </c>
      <c r="R353" s="170" t="e">
        <f>SUMIFS(#REF!,#REF!,$C351&amp;R$319&amp;$D$346&amp;$G$351)</f>
        <v>#REF!</v>
      </c>
      <c r="S353" s="170" t="e">
        <f>SUMIFS(#REF!,#REF!,$C351&amp;S$319&amp;$D$346&amp;$G$351)</f>
        <v>#REF!</v>
      </c>
      <c r="T353" s="170" t="e">
        <f>SUMIFS(#REF!,#REF!,$C351&amp;T$319&amp;$D$346&amp;$G$351)</f>
        <v>#REF!</v>
      </c>
      <c r="U353" s="170" t="e">
        <f>SUMIFS(#REF!,#REF!,$C351&amp;U$319&amp;$D$346&amp;$G$351)</f>
        <v>#REF!</v>
      </c>
      <c r="V353" s="170" t="e">
        <f>SUMIFS(#REF!,#REF!,$C351&amp;V$319&amp;$D$346&amp;$G$351)</f>
        <v>#REF!</v>
      </c>
      <c r="W353" s="170" t="e">
        <f>SUMIFS(#REF!,#REF!,$C351&amp;W$319&amp;$D$346&amp;$G$351)</f>
        <v>#REF!</v>
      </c>
      <c r="X353" s="170" t="e">
        <f>SUMIFS(#REF!,#REF!,$C351&amp;X$319&amp;$D$346&amp;$G$351)</f>
        <v>#REF!</v>
      </c>
      <c r="Y353" s="170" t="e">
        <f>SUMIFS(#REF!,#REF!,$C351&amp;Y$319&amp;$D$346&amp;$G$351)</f>
        <v>#REF!</v>
      </c>
      <c r="Z353" s="170" t="e">
        <f>SUMIFS(#REF!,#REF!,$C351&amp;Z$319&amp;$D$346&amp;$G$351)</f>
        <v>#REF!</v>
      </c>
      <c r="AA353" s="170" t="e">
        <f>SUMIFS(#REF!,#REF!,$C351&amp;AA$319&amp;$D$346&amp;$G$351)</f>
        <v>#REF!</v>
      </c>
      <c r="AB353" s="170" t="e">
        <f>SUMIFS(#REF!,#REF!,$C351&amp;AB$319&amp;$D$346&amp;$G$351)</f>
        <v>#REF!</v>
      </c>
      <c r="AC353" s="170" t="e">
        <f>SUMIFS(#REF!,#REF!,$C351&amp;AC$319&amp;$D$346&amp;$G$351)</f>
        <v>#REF!</v>
      </c>
      <c r="AD353" s="170" t="e">
        <f>SUMIFS(#REF!,#REF!,$C351&amp;AD$319&amp;$D$346&amp;$G$351)</f>
        <v>#REF!</v>
      </c>
      <c r="AE353" s="170" t="e">
        <f>SUMIFS(#REF!,#REF!,$C351&amp;AE$319&amp;$D$346&amp;$G$351)</f>
        <v>#REF!</v>
      </c>
      <c r="AF353" s="170" t="e">
        <f>SUMIFS(#REF!,#REF!,$C351&amp;AF$319&amp;$D$346&amp;$G$351)</f>
        <v>#REF!</v>
      </c>
      <c r="AG353" s="170" t="e">
        <f>SUMIFS(#REF!,#REF!,$C351&amp;AG$319&amp;$D$346&amp;$G$351)</f>
        <v>#REF!</v>
      </c>
      <c r="AH353" s="170" t="e">
        <f>SUMIFS(#REF!,#REF!,$C351&amp;AH$319&amp;$D$346&amp;$G$351)</f>
        <v>#REF!</v>
      </c>
      <c r="AI353" s="170" t="e">
        <f>SUMIFS(#REF!,#REF!,$C351&amp;AI$319&amp;$D$346&amp;$G$351)</f>
        <v>#REF!</v>
      </c>
      <c r="AJ353" s="170" t="e">
        <f>SUMIFS(#REF!,#REF!,$C351&amp;AJ$319&amp;$D$346&amp;$G$351)</f>
        <v>#REF!</v>
      </c>
      <c r="AK353" s="170" t="e">
        <f>SUMIFS(#REF!,#REF!,$C351&amp;AK$319&amp;$D$346&amp;$G$351)</f>
        <v>#REF!</v>
      </c>
      <c r="AL353" s="170" t="e">
        <f>SUMIFS(#REF!,#REF!,$C351&amp;AL$319&amp;$D$346&amp;$G$351)</f>
        <v>#REF!</v>
      </c>
      <c r="AM353" s="170" t="e">
        <f>SUMIFS(#REF!,#REF!,$C351&amp;AM$319&amp;$D$346&amp;$G$351)</f>
        <v>#REF!</v>
      </c>
      <c r="AN353" s="14"/>
      <c r="AO353" s="14"/>
      <c r="AP353" s="14"/>
      <c r="AQ353" s="14"/>
      <c r="AR353" s="14"/>
      <c r="AS353" s="14"/>
      <c r="AT353" s="14"/>
      <c r="AU353" s="14"/>
      <c r="AV353" s="14"/>
    </row>
    <row r="354" s="8" customFormat="1" ht="31.05" hidden="1" customHeight="1" spans="1:48">
      <c r="A354" s="19"/>
      <c r="B354" s="19"/>
      <c r="C354" s="178" t="s">
        <v>51</v>
      </c>
      <c r="D354" s="180"/>
      <c r="E354" s="189"/>
      <c r="F354" s="180"/>
      <c r="G354" s="69"/>
      <c r="H354" s="142" t="s">
        <v>110</v>
      </c>
      <c r="I354" s="177">
        <f t="shared" ref="I354:AM354" si="142">IFERROR(I353/I$357,0)</f>
        <v>0</v>
      </c>
      <c r="J354" s="177">
        <f t="shared" si="142"/>
        <v>0</v>
      </c>
      <c r="K354" s="177">
        <f t="shared" si="142"/>
        <v>0</v>
      </c>
      <c r="L354" s="177">
        <f t="shared" si="142"/>
        <v>0</v>
      </c>
      <c r="M354" s="177">
        <f t="shared" si="142"/>
        <v>0</v>
      </c>
      <c r="N354" s="177">
        <f t="shared" si="142"/>
        <v>0</v>
      </c>
      <c r="O354" s="177">
        <f t="shared" si="142"/>
        <v>0</v>
      </c>
      <c r="P354" s="177">
        <f t="shared" si="142"/>
        <v>0</v>
      </c>
      <c r="Q354" s="177">
        <f t="shared" si="142"/>
        <v>0</v>
      </c>
      <c r="R354" s="177">
        <f t="shared" si="142"/>
        <v>0</v>
      </c>
      <c r="S354" s="177">
        <f t="shared" si="142"/>
        <v>0</v>
      </c>
      <c r="T354" s="177">
        <f t="shared" si="142"/>
        <v>0</v>
      </c>
      <c r="U354" s="177">
        <f t="shared" si="142"/>
        <v>0</v>
      </c>
      <c r="V354" s="177">
        <f t="shared" si="142"/>
        <v>0</v>
      </c>
      <c r="W354" s="177">
        <f t="shared" si="142"/>
        <v>0</v>
      </c>
      <c r="X354" s="177">
        <f t="shared" si="142"/>
        <v>0</v>
      </c>
      <c r="Y354" s="177">
        <f t="shared" si="142"/>
        <v>0</v>
      </c>
      <c r="Z354" s="177">
        <f t="shared" si="142"/>
        <v>0</v>
      </c>
      <c r="AA354" s="177">
        <f t="shared" si="142"/>
        <v>0</v>
      </c>
      <c r="AB354" s="177">
        <f t="shared" si="142"/>
        <v>0</v>
      </c>
      <c r="AC354" s="177">
        <f t="shared" si="142"/>
        <v>0</v>
      </c>
      <c r="AD354" s="177">
        <f t="shared" si="142"/>
        <v>0</v>
      </c>
      <c r="AE354" s="177">
        <f t="shared" si="142"/>
        <v>0</v>
      </c>
      <c r="AF354" s="177">
        <f t="shared" si="142"/>
        <v>0</v>
      </c>
      <c r="AG354" s="177">
        <f t="shared" si="142"/>
        <v>0</v>
      </c>
      <c r="AH354" s="177">
        <f t="shared" si="142"/>
        <v>0</v>
      </c>
      <c r="AI354" s="177">
        <f t="shared" si="142"/>
        <v>0</v>
      </c>
      <c r="AJ354" s="177">
        <f t="shared" si="142"/>
        <v>0</v>
      </c>
      <c r="AK354" s="177">
        <f t="shared" si="142"/>
        <v>0</v>
      </c>
      <c r="AL354" s="177">
        <f t="shared" si="142"/>
        <v>0</v>
      </c>
      <c r="AM354" s="177">
        <f t="shared" si="142"/>
        <v>0</v>
      </c>
      <c r="AN354" s="18"/>
      <c r="AO354" s="18"/>
      <c r="AP354" s="18"/>
      <c r="AQ354" s="18"/>
      <c r="AR354" s="18"/>
      <c r="AS354" s="18"/>
      <c r="AT354" s="18"/>
      <c r="AU354" s="18"/>
      <c r="AV354" s="18"/>
    </row>
    <row r="355" s="8" customFormat="1" ht="31.05" hidden="1" customHeight="1" spans="1:48">
      <c r="A355" s="19"/>
      <c r="B355" s="19"/>
      <c r="C355" s="178" t="s">
        <v>51</v>
      </c>
      <c r="D355" s="180"/>
      <c r="E355" s="189"/>
      <c r="F355" s="180"/>
      <c r="G355" s="69"/>
      <c r="H355" s="190" t="s">
        <v>111</v>
      </c>
      <c r="I355" s="176">
        <f t="shared" ref="I355:AM355" si="143">IFERROR(I353/I351,0)</f>
        <v>0</v>
      </c>
      <c r="J355" s="176">
        <f t="shared" si="143"/>
        <v>0</v>
      </c>
      <c r="K355" s="176">
        <f t="shared" si="143"/>
        <v>0</v>
      </c>
      <c r="L355" s="176">
        <f t="shared" si="143"/>
        <v>0</v>
      </c>
      <c r="M355" s="176">
        <f t="shared" si="143"/>
        <v>0</v>
      </c>
      <c r="N355" s="176">
        <f t="shared" si="143"/>
        <v>0</v>
      </c>
      <c r="O355" s="176">
        <f t="shared" si="143"/>
        <v>0</v>
      </c>
      <c r="P355" s="176">
        <f t="shared" si="143"/>
        <v>0</v>
      </c>
      <c r="Q355" s="176">
        <f t="shared" si="143"/>
        <v>0</v>
      </c>
      <c r="R355" s="176">
        <f t="shared" si="143"/>
        <v>0</v>
      </c>
      <c r="S355" s="176">
        <f t="shared" si="143"/>
        <v>0</v>
      </c>
      <c r="T355" s="176">
        <f t="shared" si="143"/>
        <v>0</v>
      </c>
      <c r="U355" s="176">
        <f t="shared" si="143"/>
        <v>0</v>
      </c>
      <c r="V355" s="176">
        <f t="shared" si="143"/>
        <v>0</v>
      </c>
      <c r="W355" s="176">
        <f t="shared" si="143"/>
        <v>0</v>
      </c>
      <c r="X355" s="176">
        <f t="shared" si="143"/>
        <v>0</v>
      </c>
      <c r="Y355" s="176">
        <f t="shared" si="143"/>
        <v>0</v>
      </c>
      <c r="Z355" s="176">
        <f t="shared" si="143"/>
        <v>0</v>
      </c>
      <c r="AA355" s="176">
        <f t="shared" si="143"/>
        <v>0</v>
      </c>
      <c r="AB355" s="176">
        <f t="shared" si="143"/>
        <v>0</v>
      </c>
      <c r="AC355" s="176">
        <f t="shared" si="143"/>
        <v>0</v>
      </c>
      <c r="AD355" s="176">
        <f t="shared" si="143"/>
        <v>0</v>
      </c>
      <c r="AE355" s="176">
        <f t="shared" si="143"/>
        <v>0</v>
      </c>
      <c r="AF355" s="176">
        <f t="shared" si="143"/>
        <v>0</v>
      </c>
      <c r="AG355" s="176">
        <f t="shared" si="143"/>
        <v>0</v>
      </c>
      <c r="AH355" s="176">
        <f t="shared" si="143"/>
        <v>0</v>
      </c>
      <c r="AI355" s="176">
        <f t="shared" si="143"/>
        <v>0</v>
      </c>
      <c r="AJ355" s="176">
        <f t="shared" si="143"/>
        <v>0</v>
      </c>
      <c r="AK355" s="176">
        <f t="shared" si="143"/>
        <v>0</v>
      </c>
      <c r="AL355" s="176">
        <f t="shared" si="143"/>
        <v>0</v>
      </c>
      <c r="AM355" s="176">
        <f t="shared" si="143"/>
        <v>0</v>
      </c>
      <c r="AN355" s="18"/>
      <c r="AO355" s="18"/>
      <c r="AP355" s="18"/>
      <c r="AQ355" s="18"/>
      <c r="AR355" s="18"/>
      <c r="AS355" s="18"/>
      <c r="AT355" s="18"/>
      <c r="AU355" s="18"/>
      <c r="AV355" s="18"/>
    </row>
    <row r="356" s="7" customFormat="1" ht="31.05" hidden="1" customHeight="1" spans="1:48">
      <c r="A356" s="164"/>
      <c r="B356" s="164"/>
      <c r="C356" s="165" t="s">
        <v>51</v>
      </c>
      <c r="D356" s="175"/>
      <c r="E356" s="188"/>
      <c r="F356" s="175"/>
      <c r="G356" s="135" t="s">
        <v>38</v>
      </c>
      <c r="H356" s="135" t="s">
        <v>107</v>
      </c>
      <c r="I356" s="191">
        <f>SUM(J356:HU356)</f>
        <v>65176</v>
      </c>
      <c r="J356" s="192">
        <v>3258</v>
      </c>
      <c r="K356" s="192">
        <v>1956</v>
      </c>
      <c r="L356" s="192">
        <v>2607</v>
      </c>
      <c r="M356" s="192">
        <v>2607</v>
      </c>
      <c r="N356" s="192">
        <v>1956</v>
      </c>
      <c r="O356" s="192">
        <v>2607</v>
      </c>
      <c r="P356" s="192">
        <v>2281</v>
      </c>
      <c r="Q356" s="192">
        <v>1956</v>
      </c>
      <c r="R356" s="192">
        <v>2281</v>
      </c>
      <c r="S356" s="192">
        <v>1956</v>
      </c>
      <c r="T356" s="192">
        <v>1956</v>
      </c>
      <c r="U356" s="192">
        <v>1956</v>
      </c>
      <c r="V356" s="192">
        <v>1956</v>
      </c>
      <c r="W356" s="192">
        <v>2607</v>
      </c>
      <c r="X356" s="192">
        <v>2607</v>
      </c>
      <c r="Y356" s="192">
        <v>3259</v>
      </c>
      <c r="Z356" s="192">
        <v>2607</v>
      </c>
      <c r="AA356" s="192">
        <v>3910</v>
      </c>
      <c r="AB356" s="192">
        <v>1956</v>
      </c>
      <c r="AC356" s="192">
        <v>2607</v>
      </c>
      <c r="AD356" s="192">
        <v>1629</v>
      </c>
      <c r="AE356" s="192">
        <v>1629</v>
      </c>
      <c r="AF356" s="192">
        <v>1629</v>
      </c>
      <c r="AG356" s="192">
        <v>1629</v>
      </c>
      <c r="AH356" s="192">
        <v>1629</v>
      </c>
      <c r="AI356" s="192">
        <v>1629</v>
      </c>
      <c r="AJ356" s="192">
        <v>1629</v>
      </c>
      <c r="AK356" s="193">
        <v>1629</v>
      </c>
      <c r="AL356" s="193">
        <v>1629</v>
      </c>
      <c r="AM356" s="193">
        <v>1629</v>
      </c>
      <c r="AN356" s="14"/>
      <c r="AO356" s="14"/>
      <c r="AP356" s="14"/>
      <c r="AQ356" s="14"/>
      <c r="AR356" s="14"/>
      <c r="AS356" s="14"/>
      <c r="AT356" s="14"/>
      <c r="AU356" s="14"/>
      <c r="AV356" s="14"/>
    </row>
    <row r="357" s="7" customFormat="1" ht="31.05" hidden="1" customHeight="1" spans="1:48">
      <c r="A357" s="164"/>
      <c r="B357" s="164"/>
      <c r="C357" s="165" t="s">
        <v>51</v>
      </c>
      <c r="D357" s="175"/>
      <c r="E357" s="188"/>
      <c r="F357" s="175"/>
      <c r="G357" s="39"/>
      <c r="H357" s="194" t="s">
        <v>109</v>
      </c>
      <c r="I357" s="171" t="e">
        <f>SUM(J357:HU357)</f>
        <v>#REF!</v>
      </c>
      <c r="J357" s="195" t="e">
        <f t="shared" ref="J357:AM357" si="144">J348+J353</f>
        <v>#REF!</v>
      </c>
      <c r="K357" s="171" t="e">
        <f t="shared" si="144"/>
        <v>#REF!</v>
      </c>
      <c r="L357" s="171" t="e">
        <f t="shared" si="144"/>
        <v>#REF!</v>
      </c>
      <c r="M357" s="171" t="e">
        <f t="shared" si="144"/>
        <v>#REF!</v>
      </c>
      <c r="N357" s="171" t="e">
        <f t="shared" si="144"/>
        <v>#REF!</v>
      </c>
      <c r="O357" s="171" t="e">
        <f t="shared" si="144"/>
        <v>#REF!</v>
      </c>
      <c r="P357" s="171" t="e">
        <f t="shared" si="144"/>
        <v>#REF!</v>
      </c>
      <c r="Q357" s="171" t="e">
        <f t="shared" si="144"/>
        <v>#REF!</v>
      </c>
      <c r="R357" s="171" t="e">
        <f t="shared" si="144"/>
        <v>#REF!</v>
      </c>
      <c r="S357" s="171" t="e">
        <f t="shared" si="144"/>
        <v>#REF!</v>
      </c>
      <c r="T357" s="171" t="e">
        <f t="shared" si="144"/>
        <v>#REF!</v>
      </c>
      <c r="U357" s="171" t="e">
        <f t="shared" si="144"/>
        <v>#REF!</v>
      </c>
      <c r="V357" s="171" t="e">
        <f t="shared" si="144"/>
        <v>#REF!</v>
      </c>
      <c r="W357" s="171" t="e">
        <f t="shared" si="144"/>
        <v>#REF!</v>
      </c>
      <c r="X357" s="171" t="e">
        <f t="shared" si="144"/>
        <v>#REF!</v>
      </c>
      <c r="Y357" s="171" t="e">
        <f t="shared" si="144"/>
        <v>#REF!</v>
      </c>
      <c r="Z357" s="171" t="e">
        <f t="shared" si="144"/>
        <v>#REF!</v>
      </c>
      <c r="AA357" s="171" t="e">
        <f t="shared" si="144"/>
        <v>#REF!</v>
      </c>
      <c r="AB357" s="171" t="e">
        <f t="shared" si="144"/>
        <v>#REF!</v>
      </c>
      <c r="AC357" s="171" t="e">
        <f t="shared" si="144"/>
        <v>#REF!</v>
      </c>
      <c r="AD357" s="171" t="e">
        <f t="shared" si="144"/>
        <v>#REF!</v>
      </c>
      <c r="AE357" s="171" t="e">
        <f t="shared" si="144"/>
        <v>#REF!</v>
      </c>
      <c r="AF357" s="171" t="e">
        <f t="shared" si="144"/>
        <v>#REF!</v>
      </c>
      <c r="AG357" s="171" t="e">
        <f t="shared" si="144"/>
        <v>#REF!</v>
      </c>
      <c r="AH357" s="171" t="e">
        <f t="shared" si="144"/>
        <v>#REF!</v>
      </c>
      <c r="AI357" s="171" t="e">
        <f t="shared" si="144"/>
        <v>#REF!</v>
      </c>
      <c r="AJ357" s="171" t="e">
        <f t="shared" si="144"/>
        <v>#REF!</v>
      </c>
      <c r="AK357" s="171" t="e">
        <f t="shared" si="144"/>
        <v>#REF!</v>
      </c>
      <c r="AL357" s="171" t="e">
        <f t="shared" si="144"/>
        <v>#REF!</v>
      </c>
      <c r="AM357" s="171" t="e">
        <f t="shared" si="144"/>
        <v>#REF!</v>
      </c>
      <c r="AN357" s="14"/>
      <c r="AO357" s="14"/>
      <c r="AP357" s="14"/>
      <c r="AQ357" s="14"/>
      <c r="AR357" s="14"/>
      <c r="AS357" s="14"/>
      <c r="AT357" s="14"/>
      <c r="AU357" s="14"/>
      <c r="AV357" s="14"/>
    </row>
    <row r="358" s="8" customFormat="1" ht="31.05" hidden="1" customHeight="1" spans="1:48">
      <c r="A358" s="19"/>
      <c r="B358" s="19"/>
      <c r="C358" s="178" t="s">
        <v>51</v>
      </c>
      <c r="D358" s="184"/>
      <c r="E358" s="196"/>
      <c r="F358" s="184"/>
      <c r="G358" s="197"/>
      <c r="H358" s="142" t="s">
        <v>111</v>
      </c>
      <c r="I358" s="198">
        <f t="shared" ref="I358:AM358" si="145">IFERROR(I357/I356,0)</f>
        <v>0</v>
      </c>
      <c r="J358" s="176">
        <f t="shared" si="145"/>
        <v>0</v>
      </c>
      <c r="K358" s="176">
        <f t="shared" si="145"/>
        <v>0</v>
      </c>
      <c r="L358" s="176">
        <f t="shared" si="145"/>
        <v>0</v>
      </c>
      <c r="M358" s="176">
        <f t="shared" si="145"/>
        <v>0</v>
      </c>
      <c r="N358" s="176">
        <f t="shared" si="145"/>
        <v>0</v>
      </c>
      <c r="O358" s="176">
        <f t="shared" si="145"/>
        <v>0</v>
      </c>
      <c r="P358" s="176">
        <f t="shared" si="145"/>
        <v>0</v>
      </c>
      <c r="Q358" s="176">
        <f t="shared" si="145"/>
        <v>0</v>
      </c>
      <c r="R358" s="176">
        <f t="shared" si="145"/>
        <v>0</v>
      </c>
      <c r="S358" s="176">
        <f t="shared" si="145"/>
        <v>0</v>
      </c>
      <c r="T358" s="176">
        <f t="shared" si="145"/>
        <v>0</v>
      </c>
      <c r="U358" s="176">
        <f t="shared" si="145"/>
        <v>0</v>
      </c>
      <c r="V358" s="176">
        <f t="shared" si="145"/>
        <v>0</v>
      </c>
      <c r="W358" s="176">
        <f t="shared" si="145"/>
        <v>0</v>
      </c>
      <c r="X358" s="176">
        <f t="shared" si="145"/>
        <v>0</v>
      </c>
      <c r="Y358" s="176">
        <f t="shared" si="145"/>
        <v>0</v>
      </c>
      <c r="Z358" s="176">
        <f t="shared" si="145"/>
        <v>0</v>
      </c>
      <c r="AA358" s="176">
        <f t="shared" si="145"/>
        <v>0</v>
      </c>
      <c r="AB358" s="176">
        <f t="shared" si="145"/>
        <v>0</v>
      </c>
      <c r="AC358" s="176">
        <f t="shared" si="145"/>
        <v>0</v>
      </c>
      <c r="AD358" s="176">
        <f t="shared" si="145"/>
        <v>0</v>
      </c>
      <c r="AE358" s="176">
        <f t="shared" si="145"/>
        <v>0</v>
      </c>
      <c r="AF358" s="176">
        <f t="shared" si="145"/>
        <v>0</v>
      </c>
      <c r="AG358" s="176">
        <f t="shared" si="145"/>
        <v>0</v>
      </c>
      <c r="AH358" s="176">
        <f t="shared" si="145"/>
        <v>0</v>
      </c>
      <c r="AI358" s="176">
        <f t="shared" si="145"/>
        <v>0</v>
      </c>
      <c r="AJ358" s="176">
        <f t="shared" si="145"/>
        <v>0</v>
      </c>
      <c r="AK358" s="176">
        <f t="shared" si="145"/>
        <v>0</v>
      </c>
      <c r="AL358" s="176">
        <f t="shared" si="145"/>
        <v>0</v>
      </c>
      <c r="AM358" s="176">
        <f t="shared" si="145"/>
        <v>0</v>
      </c>
      <c r="AN358" s="18"/>
      <c r="AO358" s="18"/>
      <c r="AP358" s="18"/>
      <c r="AQ358" s="18"/>
      <c r="AR358" s="18"/>
      <c r="AS358" s="18"/>
      <c r="AT358" s="18"/>
      <c r="AU358" s="18"/>
      <c r="AV358" s="18"/>
    </row>
    <row r="359" s="7" customFormat="1" ht="31.05" hidden="1" customHeight="1" spans="1:48">
      <c r="A359" s="164"/>
      <c r="B359" s="164"/>
      <c r="C359" s="165" t="s">
        <v>51</v>
      </c>
      <c r="D359" s="166" t="s">
        <v>81</v>
      </c>
      <c r="E359" s="166">
        <v>0.2</v>
      </c>
      <c r="F359" s="167" t="e">
        <f>I370/$I$383</f>
        <v>#REF!</v>
      </c>
      <c r="G359" s="199" t="s">
        <v>106</v>
      </c>
      <c r="H359" s="169" t="s">
        <v>107</v>
      </c>
      <c r="I359" s="171">
        <f>SUM(J359:HU359)</f>
        <v>21176</v>
      </c>
      <c r="J359" s="195">
        <v>1055</v>
      </c>
      <c r="K359" s="171">
        <v>635</v>
      </c>
      <c r="L359" s="171">
        <v>847</v>
      </c>
      <c r="M359" s="171">
        <v>847</v>
      </c>
      <c r="N359" s="171">
        <v>635</v>
      </c>
      <c r="O359" s="171">
        <v>847</v>
      </c>
      <c r="P359" s="171">
        <v>741</v>
      </c>
      <c r="Q359" s="171">
        <v>635</v>
      </c>
      <c r="R359" s="171">
        <v>741</v>
      </c>
      <c r="S359" s="171">
        <v>635</v>
      </c>
      <c r="T359" s="171">
        <v>635</v>
      </c>
      <c r="U359" s="171">
        <v>635</v>
      </c>
      <c r="V359" s="171">
        <v>635</v>
      </c>
      <c r="W359" s="171">
        <v>847</v>
      </c>
      <c r="X359" s="171">
        <v>847</v>
      </c>
      <c r="Y359" s="171">
        <v>1059</v>
      </c>
      <c r="Z359" s="171">
        <v>847</v>
      </c>
      <c r="AA359" s="171">
        <v>1271</v>
      </c>
      <c r="AB359" s="171">
        <v>635</v>
      </c>
      <c r="AC359" s="171">
        <v>847</v>
      </c>
      <c r="AD359" s="171">
        <v>530</v>
      </c>
      <c r="AE359" s="171">
        <v>530</v>
      </c>
      <c r="AF359" s="171">
        <v>530</v>
      </c>
      <c r="AG359" s="171">
        <v>530</v>
      </c>
      <c r="AH359" s="171">
        <v>530</v>
      </c>
      <c r="AI359" s="171">
        <v>530</v>
      </c>
      <c r="AJ359" s="171">
        <v>530</v>
      </c>
      <c r="AK359" s="182">
        <v>530</v>
      </c>
      <c r="AL359" s="182">
        <v>530</v>
      </c>
      <c r="AM359" s="182">
        <v>530</v>
      </c>
      <c r="AN359" s="14"/>
      <c r="AO359" s="14"/>
      <c r="AP359" s="14"/>
      <c r="AQ359" s="14"/>
      <c r="AR359" s="14"/>
      <c r="AS359" s="14"/>
      <c r="AT359" s="14"/>
      <c r="AU359" s="14"/>
      <c r="AV359" s="14"/>
    </row>
    <row r="360" s="9" customFormat="1" ht="31.05" hidden="1" customHeight="1" spans="1:48">
      <c r="A360" s="164"/>
      <c r="B360" s="164"/>
      <c r="C360" s="165" t="s">
        <v>51</v>
      </c>
      <c r="D360" s="174"/>
      <c r="E360" s="174"/>
      <c r="F360" s="175"/>
      <c r="G360" s="200"/>
      <c r="H360" s="135" t="s">
        <v>108</v>
      </c>
      <c r="I360" s="176">
        <v>0.65</v>
      </c>
      <c r="J360" s="176">
        <v>0.65</v>
      </c>
      <c r="K360" s="176">
        <v>0.65</v>
      </c>
      <c r="L360" s="176">
        <v>0.65</v>
      </c>
      <c r="M360" s="176">
        <v>0.65</v>
      </c>
      <c r="N360" s="176">
        <v>0.65</v>
      </c>
      <c r="O360" s="176">
        <v>0.65</v>
      </c>
      <c r="P360" s="176">
        <v>0.65</v>
      </c>
      <c r="Q360" s="176">
        <v>0.65</v>
      </c>
      <c r="R360" s="176">
        <v>0.65</v>
      </c>
      <c r="S360" s="176">
        <v>0.65</v>
      </c>
      <c r="T360" s="176">
        <v>0.65</v>
      </c>
      <c r="U360" s="176">
        <v>0.65</v>
      </c>
      <c r="V360" s="176">
        <v>0.65</v>
      </c>
      <c r="W360" s="176">
        <v>0.65</v>
      </c>
      <c r="X360" s="176">
        <v>0.65</v>
      </c>
      <c r="Y360" s="176">
        <v>0.65</v>
      </c>
      <c r="Z360" s="176">
        <v>0.65</v>
      </c>
      <c r="AA360" s="176">
        <v>0.65</v>
      </c>
      <c r="AB360" s="176">
        <v>0.65</v>
      </c>
      <c r="AC360" s="176">
        <v>0.65</v>
      </c>
      <c r="AD360" s="176">
        <v>0.65</v>
      </c>
      <c r="AE360" s="176">
        <v>0.65</v>
      </c>
      <c r="AF360" s="176">
        <v>0.65</v>
      </c>
      <c r="AG360" s="176">
        <v>0.65</v>
      </c>
      <c r="AH360" s="176">
        <v>0.65</v>
      </c>
      <c r="AI360" s="176">
        <v>0.65</v>
      </c>
      <c r="AJ360" s="176">
        <v>0.65</v>
      </c>
      <c r="AK360" s="177">
        <v>0.65</v>
      </c>
      <c r="AL360" s="177">
        <v>0.65</v>
      </c>
      <c r="AM360" s="177">
        <v>0.65</v>
      </c>
      <c r="AN360" s="14"/>
      <c r="AO360" s="14"/>
      <c r="AP360" s="14"/>
      <c r="AQ360" s="14"/>
      <c r="AR360" s="14"/>
      <c r="AS360" s="14"/>
      <c r="AT360" s="14"/>
      <c r="AU360" s="14"/>
      <c r="AV360" s="14"/>
    </row>
    <row r="361" ht="37.2" hidden="1" customHeight="1" spans="1:48">
      <c r="C361" s="165" t="s">
        <v>51</v>
      </c>
      <c r="D361" s="174"/>
      <c r="E361" s="174"/>
      <c r="F361" s="175"/>
      <c r="G361" s="200"/>
      <c r="H361" s="135" t="s">
        <v>109</v>
      </c>
      <c r="I361" s="170" t="e">
        <f>SUM(J361:HU361)</f>
        <v>#REF!</v>
      </c>
      <c r="J361" s="170" t="e">
        <f>SUMIFS(#REF!,#REF!,$C359&amp;J$319&amp;$D$359&amp;$G$359)</f>
        <v>#REF!</v>
      </c>
      <c r="K361" s="170" t="e">
        <f>SUMIFS(#REF!,#REF!,$C359&amp;K$319&amp;$D$359&amp;$G$359)</f>
        <v>#REF!</v>
      </c>
      <c r="L361" s="170" t="e">
        <f>SUMIFS(#REF!,#REF!,$C359&amp;L$319&amp;$D$359&amp;$G$359)</f>
        <v>#REF!</v>
      </c>
      <c r="M361" s="170" t="e">
        <f>SUMIFS(#REF!,#REF!,$C359&amp;M$319&amp;$D$359&amp;$G$359)</f>
        <v>#REF!</v>
      </c>
      <c r="N361" s="170" t="e">
        <f>SUMIFS(#REF!,#REF!,$C359&amp;N$319&amp;$D$359&amp;$G$359)</f>
        <v>#REF!</v>
      </c>
      <c r="O361" s="170" t="e">
        <f>SUMIFS(#REF!,#REF!,$C359&amp;O$319&amp;$D$359&amp;$G$359)</f>
        <v>#REF!</v>
      </c>
      <c r="P361" s="170" t="e">
        <f>SUMIFS(#REF!,#REF!,$C359&amp;P$319&amp;$D$359&amp;$G$359)</f>
        <v>#REF!</v>
      </c>
      <c r="Q361" s="170" t="e">
        <f>SUMIFS(#REF!,#REF!,$C359&amp;Q$319&amp;$D$359&amp;$G$359)</f>
        <v>#REF!</v>
      </c>
      <c r="R361" s="170" t="e">
        <f>SUMIFS(#REF!,#REF!,$C359&amp;R$319&amp;$D$359&amp;$G$359)</f>
        <v>#REF!</v>
      </c>
      <c r="S361" s="170" t="e">
        <f>SUMIFS(#REF!,#REF!,$C359&amp;S$319&amp;$D$359&amp;$G$359)</f>
        <v>#REF!</v>
      </c>
      <c r="T361" s="170" t="e">
        <f>SUMIFS(#REF!,#REF!,$C359&amp;T$319&amp;$D$359&amp;$G$359)</f>
        <v>#REF!</v>
      </c>
      <c r="U361" s="170" t="e">
        <f>SUMIFS(#REF!,#REF!,$C359&amp;U$319&amp;$D$359&amp;$G$359)</f>
        <v>#REF!</v>
      </c>
      <c r="V361" s="170" t="e">
        <f>SUMIFS(#REF!,#REF!,$C359&amp;V$319&amp;$D$359&amp;$G$359)</f>
        <v>#REF!</v>
      </c>
      <c r="W361" s="170" t="e">
        <f>SUMIFS(#REF!,#REF!,$C359&amp;W$319&amp;$D$359&amp;$G$359)</f>
        <v>#REF!</v>
      </c>
      <c r="X361" s="170" t="e">
        <f>SUMIFS(#REF!,#REF!,$C359&amp;X$319&amp;$D$359&amp;$G$359)</f>
        <v>#REF!</v>
      </c>
      <c r="Y361" s="170" t="e">
        <f>SUMIFS(#REF!,#REF!,$C359&amp;Y$319&amp;$D$359&amp;$G$359)</f>
        <v>#REF!</v>
      </c>
      <c r="Z361" s="170" t="e">
        <f>SUMIFS(#REF!,#REF!,$C359&amp;Z$319&amp;$D$359&amp;$G$359)</f>
        <v>#REF!</v>
      </c>
      <c r="AA361" s="170" t="e">
        <f>SUMIFS(#REF!,#REF!,$C359&amp;AA$319&amp;$D$359&amp;$G$359)</f>
        <v>#REF!</v>
      </c>
      <c r="AB361" s="170" t="e">
        <f>SUMIFS(#REF!,#REF!,$C359&amp;AB$319&amp;$D$359&amp;$G$359)</f>
        <v>#REF!</v>
      </c>
      <c r="AC361" s="170" t="e">
        <f>SUMIFS(#REF!,#REF!,$C359&amp;AC$319&amp;$D$359&amp;$G$359)</f>
        <v>#REF!</v>
      </c>
      <c r="AD361" s="170" t="e">
        <f>SUMIFS(#REF!,#REF!,$C359&amp;AD$319&amp;$D$359&amp;$G$359)</f>
        <v>#REF!</v>
      </c>
      <c r="AE361" s="170" t="e">
        <f>SUMIFS(#REF!,#REF!,$C359&amp;AE$319&amp;$D$359&amp;$G$359)</f>
        <v>#REF!</v>
      </c>
      <c r="AF361" s="170" t="e">
        <f>SUMIFS(#REF!,#REF!,$C359&amp;AF$319&amp;$D$359&amp;$G$359)</f>
        <v>#REF!</v>
      </c>
      <c r="AG361" s="170" t="e">
        <f>SUMIFS(#REF!,#REF!,$C359&amp;AG$319&amp;$D$359&amp;$G$359)</f>
        <v>#REF!</v>
      </c>
      <c r="AH361" s="170" t="e">
        <f>SUMIFS(#REF!,#REF!,$C359&amp;AH$319&amp;$D$359&amp;$G$359)</f>
        <v>#REF!</v>
      </c>
      <c r="AI361" s="170" t="e">
        <f>SUMIFS(#REF!,#REF!,$C359&amp;AI$319&amp;$D$359&amp;$G$359)</f>
        <v>#REF!</v>
      </c>
      <c r="AJ361" s="170" t="e">
        <f>SUMIFS(#REF!,#REF!,$C359&amp;AJ$319&amp;$D$359&amp;$G$359)</f>
        <v>#REF!</v>
      </c>
      <c r="AK361" s="170" t="e">
        <f>SUMIFS(#REF!,#REF!,$C359&amp;AK$319&amp;$D$359&amp;$G$359)</f>
        <v>#REF!</v>
      </c>
      <c r="AL361" s="170" t="e">
        <f>SUMIFS(#REF!,#REF!,$C359&amp;AL$319&amp;$D$359&amp;$G$359)</f>
        <v>#REF!</v>
      </c>
      <c r="AM361" s="170" t="e">
        <f>SUMIFS(#REF!,#REF!,$C359&amp;AM$319&amp;$D$359&amp;$G$359)</f>
        <v>#REF!</v>
      </c>
    </row>
    <row r="362" ht="37.2" hidden="1" customHeight="1" spans="1:48">
      <c r="C362" s="165" t="s">
        <v>51</v>
      </c>
      <c r="D362" s="174"/>
      <c r="E362" s="174"/>
      <c r="F362" s="180"/>
      <c r="G362" s="200"/>
      <c r="H362" s="135" t="s">
        <v>110</v>
      </c>
      <c r="I362" s="177">
        <f t="shared" ref="I362:AM362" si="146">IFERROR(I361/I$370,0)</f>
        <v>0</v>
      </c>
      <c r="J362" s="177">
        <f t="shared" si="146"/>
        <v>0</v>
      </c>
      <c r="K362" s="177">
        <f t="shared" si="146"/>
        <v>0</v>
      </c>
      <c r="L362" s="177">
        <f t="shared" si="146"/>
        <v>0</v>
      </c>
      <c r="M362" s="177">
        <f t="shared" si="146"/>
        <v>0</v>
      </c>
      <c r="N362" s="177">
        <f t="shared" si="146"/>
        <v>0</v>
      </c>
      <c r="O362" s="177">
        <f t="shared" si="146"/>
        <v>0</v>
      </c>
      <c r="P362" s="177">
        <f t="shared" si="146"/>
        <v>0</v>
      </c>
      <c r="Q362" s="177">
        <f t="shared" si="146"/>
        <v>0</v>
      </c>
      <c r="R362" s="177">
        <f t="shared" si="146"/>
        <v>0</v>
      </c>
      <c r="S362" s="177">
        <f t="shared" si="146"/>
        <v>0</v>
      </c>
      <c r="T362" s="177">
        <f t="shared" si="146"/>
        <v>0</v>
      </c>
      <c r="U362" s="177">
        <f t="shared" si="146"/>
        <v>0</v>
      </c>
      <c r="V362" s="177">
        <f t="shared" si="146"/>
        <v>0</v>
      </c>
      <c r="W362" s="177">
        <f t="shared" si="146"/>
        <v>0</v>
      </c>
      <c r="X362" s="177">
        <f t="shared" si="146"/>
        <v>0</v>
      </c>
      <c r="Y362" s="177">
        <f t="shared" si="146"/>
        <v>0</v>
      </c>
      <c r="Z362" s="177">
        <f t="shared" si="146"/>
        <v>0</v>
      </c>
      <c r="AA362" s="177">
        <f t="shared" si="146"/>
        <v>0</v>
      </c>
      <c r="AB362" s="177">
        <f t="shared" si="146"/>
        <v>0</v>
      </c>
      <c r="AC362" s="177">
        <f t="shared" si="146"/>
        <v>0</v>
      </c>
      <c r="AD362" s="177">
        <f t="shared" si="146"/>
        <v>0</v>
      </c>
      <c r="AE362" s="177">
        <f t="shared" si="146"/>
        <v>0</v>
      </c>
      <c r="AF362" s="177">
        <f t="shared" si="146"/>
        <v>0</v>
      </c>
      <c r="AG362" s="177">
        <f t="shared" si="146"/>
        <v>0</v>
      </c>
      <c r="AH362" s="177">
        <f t="shared" si="146"/>
        <v>0</v>
      </c>
      <c r="AI362" s="177">
        <f t="shared" si="146"/>
        <v>0</v>
      </c>
      <c r="AJ362" s="177">
        <f t="shared" si="146"/>
        <v>0</v>
      </c>
      <c r="AK362" s="177">
        <f t="shared" si="146"/>
        <v>0</v>
      </c>
      <c r="AL362" s="177">
        <f t="shared" si="146"/>
        <v>0</v>
      </c>
      <c r="AM362" s="177">
        <f t="shared" si="146"/>
        <v>0</v>
      </c>
      <c r="AN362" s="5"/>
      <c r="AO362" s="5"/>
      <c r="AP362" s="15"/>
      <c r="AQ362" s="15"/>
      <c r="AR362" s="15"/>
      <c r="AS362" s="15"/>
      <c r="AT362" s="15"/>
      <c r="AU362" s="15"/>
      <c r="AV362" s="15"/>
    </row>
    <row r="363" s="5" customFormat="1" ht="37.2" hidden="1" customHeight="1" spans="1:48">
      <c r="C363" s="178" t="s">
        <v>51</v>
      </c>
      <c r="D363" s="179"/>
      <c r="E363" s="179"/>
      <c r="F363" s="180"/>
      <c r="G363" s="201"/>
      <c r="H363" s="142" t="s">
        <v>111</v>
      </c>
      <c r="I363" s="176">
        <f t="shared" ref="I363:AM363" si="147">IFERROR(I361/I359,0)</f>
        <v>0</v>
      </c>
      <c r="J363" s="176">
        <f t="shared" si="147"/>
        <v>0</v>
      </c>
      <c r="K363" s="176">
        <f t="shared" si="147"/>
        <v>0</v>
      </c>
      <c r="L363" s="176">
        <f t="shared" si="147"/>
        <v>0</v>
      </c>
      <c r="M363" s="176">
        <f t="shared" si="147"/>
        <v>0</v>
      </c>
      <c r="N363" s="176">
        <f t="shared" si="147"/>
        <v>0</v>
      </c>
      <c r="O363" s="176">
        <f t="shared" si="147"/>
        <v>0</v>
      </c>
      <c r="P363" s="176">
        <f t="shared" si="147"/>
        <v>0</v>
      </c>
      <c r="Q363" s="176">
        <f t="shared" si="147"/>
        <v>0</v>
      </c>
      <c r="R363" s="176">
        <f t="shared" si="147"/>
        <v>0</v>
      </c>
      <c r="S363" s="176">
        <f t="shared" si="147"/>
        <v>0</v>
      </c>
      <c r="T363" s="176">
        <f t="shared" si="147"/>
        <v>0</v>
      </c>
      <c r="U363" s="176">
        <f t="shared" si="147"/>
        <v>0</v>
      </c>
      <c r="V363" s="176">
        <f t="shared" si="147"/>
        <v>0</v>
      </c>
      <c r="W363" s="176">
        <f t="shared" si="147"/>
        <v>0</v>
      </c>
      <c r="X363" s="176">
        <f t="shared" si="147"/>
        <v>0</v>
      </c>
      <c r="Y363" s="176">
        <f t="shared" si="147"/>
        <v>0</v>
      </c>
      <c r="Z363" s="176">
        <f t="shared" si="147"/>
        <v>0</v>
      </c>
      <c r="AA363" s="176">
        <f t="shared" si="147"/>
        <v>0</v>
      </c>
      <c r="AB363" s="176">
        <f t="shared" si="147"/>
        <v>0</v>
      </c>
      <c r="AC363" s="176">
        <f t="shared" si="147"/>
        <v>0</v>
      </c>
      <c r="AD363" s="176">
        <f t="shared" si="147"/>
        <v>0</v>
      </c>
      <c r="AE363" s="176">
        <f t="shared" si="147"/>
        <v>0</v>
      </c>
      <c r="AF363" s="176">
        <f t="shared" si="147"/>
        <v>0</v>
      </c>
      <c r="AG363" s="176">
        <f t="shared" si="147"/>
        <v>0</v>
      </c>
      <c r="AH363" s="176">
        <f t="shared" si="147"/>
        <v>0</v>
      </c>
      <c r="AI363" s="176">
        <f t="shared" si="147"/>
        <v>0</v>
      </c>
      <c r="AJ363" s="176">
        <f t="shared" si="147"/>
        <v>0</v>
      </c>
      <c r="AK363" s="176">
        <f t="shared" si="147"/>
        <v>0</v>
      </c>
      <c r="AL363" s="176">
        <f t="shared" si="147"/>
        <v>0</v>
      </c>
      <c r="AM363" s="176">
        <f t="shared" si="147"/>
        <v>0</v>
      </c>
    </row>
    <row r="364" ht="37.2" hidden="1" customHeight="1" spans="1:48">
      <c r="C364" s="165" t="s">
        <v>51</v>
      </c>
      <c r="D364" s="174"/>
      <c r="E364" s="174"/>
      <c r="F364" s="175"/>
      <c r="G364" s="202" t="s">
        <v>112</v>
      </c>
      <c r="H364" s="135" t="s">
        <v>107</v>
      </c>
      <c r="I364" s="171">
        <f>SUM(J364:HU364)</f>
        <v>11400</v>
      </c>
      <c r="J364" s="171">
        <v>570</v>
      </c>
      <c r="K364" s="171">
        <v>342</v>
      </c>
      <c r="L364" s="171">
        <v>456</v>
      </c>
      <c r="M364" s="171">
        <v>456</v>
      </c>
      <c r="N364" s="171">
        <v>342</v>
      </c>
      <c r="O364" s="171">
        <v>456</v>
      </c>
      <c r="P364" s="171">
        <v>399</v>
      </c>
      <c r="Q364" s="171">
        <v>342</v>
      </c>
      <c r="R364" s="171">
        <v>399</v>
      </c>
      <c r="S364" s="171">
        <v>342</v>
      </c>
      <c r="T364" s="171">
        <v>342</v>
      </c>
      <c r="U364" s="171">
        <v>342</v>
      </c>
      <c r="V364" s="171">
        <v>342</v>
      </c>
      <c r="W364" s="171">
        <v>456</v>
      </c>
      <c r="X364" s="171">
        <v>456</v>
      </c>
      <c r="Y364" s="171">
        <v>570</v>
      </c>
      <c r="Z364" s="171">
        <v>456</v>
      </c>
      <c r="AA364" s="171">
        <v>684</v>
      </c>
      <c r="AB364" s="171">
        <v>342</v>
      </c>
      <c r="AC364" s="171">
        <v>456</v>
      </c>
      <c r="AD364" s="171">
        <v>285</v>
      </c>
      <c r="AE364" s="171">
        <v>285</v>
      </c>
      <c r="AF364" s="171">
        <v>285</v>
      </c>
      <c r="AG364" s="171">
        <v>285</v>
      </c>
      <c r="AH364" s="171">
        <v>285</v>
      </c>
      <c r="AI364" s="171">
        <v>285</v>
      </c>
      <c r="AJ364" s="171">
        <v>285</v>
      </c>
      <c r="AK364" s="182">
        <v>285</v>
      </c>
      <c r="AL364" s="182">
        <v>285</v>
      </c>
      <c r="AM364" s="182">
        <v>285</v>
      </c>
      <c r="AN364" s="15"/>
      <c r="AO364" s="15"/>
      <c r="AP364" s="15"/>
      <c r="AQ364" s="15"/>
      <c r="AR364" s="15"/>
      <c r="AS364" s="15"/>
      <c r="AT364" s="15"/>
      <c r="AU364" s="15"/>
      <c r="AV364" s="15"/>
    </row>
    <row r="365" ht="37.2" hidden="1" customHeight="1" spans="1:48">
      <c r="C365" s="165" t="s">
        <v>51</v>
      </c>
      <c r="D365" s="174"/>
      <c r="E365" s="174"/>
      <c r="F365" s="175"/>
      <c r="G365" s="200"/>
      <c r="H365" s="135" t="s">
        <v>108</v>
      </c>
      <c r="I365" s="176">
        <v>0.35</v>
      </c>
      <c r="J365" s="176">
        <v>0.35</v>
      </c>
      <c r="K365" s="176">
        <v>0.35</v>
      </c>
      <c r="L365" s="176">
        <v>0.35</v>
      </c>
      <c r="M365" s="176">
        <v>0.35</v>
      </c>
      <c r="N365" s="176">
        <v>0.35</v>
      </c>
      <c r="O365" s="176">
        <v>0.35</v>
      </c>
      <c r="P365" s="176">
        <v>0.35</v>
      </c>
      <c r="Q365" s="176">
        <v>0.35</v>
      </c>
      <c r="R365" s="176">
        <v>0.35</v>
      </c>
      <c r="S365" s="176">
        <v>0.35</v>
      </c>
      <c r="T365" s="176">
        <v>0.35</v>
      </c>
      <c r="U365" s="176">
        <v>0.35</v>
      </c>
      <c r="V365" s="176">
        <v>0.35</v>
      </c>
      <c r="W365" s="176">
        <v>0.35</v>
      </c>
      <c r="X365" s="176">
        <v>0.35</v>
      </c>
      <c r="Y365" s="176">
        <v>0.35</v>
      </c>
      <c r="Z365" s="176">
        <v>0.35</v>
      </c>
      <c r="AA365" s="176">
        <v>0.35</v>
      </c>
      <c r="AB365" s="176">
        <v>0.35</v>
      </c>
      <c r="AC365" s="176">
        <v>0.35</v>
      </c>
      <c r="AD365" s="176">
        <v>0.35</v>
      </c>
      <c r="AE365" s="176">
        <v>0.35</v>
      </c>
      <c r="AF365" s="176">
        <v>0.35</v>
      </c>
      <c r="AG365" s="176">
        <v>0.35</v>
      </c>
      <c r="AH365" s="176">
        <v>0.35</v>
      </c>
      <c r="AI365" s="176">
        <v>0.35</v>
      </c>
      <c r="AJ365" s="176">
        <v>0.35</v>
      </c>
      <c r="AK365" s="177">
        <v>0.35</v>
      </c>
      <c r="AL365" s="177">
        <v>0.35</v>
      </c>
      <c r="AM365" s="177">
        <v>0.35</v>
      </c>
      <c r="AN365" s="15"/>
      <c r="AO365" s="15"/>
      <c r="AP365" s="15"/>
      <c r="AQ365" s="15"/>
      <c r="AR365" s="15"/>
      <c r="AS365" s="15"/>
      <c r="AT365" s="15"/>
      <c r="AU365" s="15"/>
      <c r="AV365" s="15"/>
    </row>
    <row r="366" ht="37.2" hidden="1" customHeight="1" spans="1:48">
      <c r="C366" s="165" t="s">
        <v>51</v>
      </c>
      <c r="D366" s="174"/>
      <c r="E366" s="174"/>
      <c r="F366" s="175"/>
      <c r="G366" s="200"/>
      <c r="H366" s="135" t="s">
        <v>109</v>
      </c>
      <c r="I366" s="170" t="e">
        <f>SUM(J366:HU366)</f>
        <v>#REF!</v>
      </c>
      <c r="J366" s="170" t="e">
        <f>SUMIFS(#REF!,#REF!,$C364&amp;J$319&amp;$D$359&amp;$G$364)</f>
        <v>#REF!</v>
      </c>
      <c r="K366" s="170" t="e">
        <f>SUMIFS(#REF!,#REF!,$C364&amp;K$319&amp;$D$359&amp;$G$364)</f>
        <v>#REF!</v>
      </c>
      <c r="L366" s="170" t="e">
        <f>SUMIFS(#REF!,#REF!,$C364&amp;L$319&amp;$D$359&amp;$G$364)</f>
        <v>#REF!</v>
      </c>
      <c r="M366" s="170" t="e">
        <f>SUMIFS(#REF!,#REF!,$C364&amp;M$319&amp;$D$359&amp;$G$364)</f>
        <v>#REF!</v>
      </c>
      <c r="N366" s="170" t="e">
        <f>SUMIFS(#REF!,#REF!,$C364&amp;N$319&amp;$D$359&amp;$G$364)</f>
        <v>#REF!</v>
      </c>
      <c r="O366" s="170" t="e">
        <f>SUMIFS(#REF!,#REF!,$C364&amp;O$319&amp;$D$359&amp;$G$364)</f>
        <v>#REF!</v>
      </c>
      <c r="P366" s="170" t="e">
        <f>SUMIFS(#REF!,#REF!,$C364&amp;P$319&amp;$D$359&amp;$G$364)</f>
        <v>#REF!</v>
      </c>
      <c r="Q366" s="170" t="e">
        <f>SUMIFS(#REF!,#REF!,$C364&amp;Q$319&amp;$D$359&amp;$G$364)</f>
        <v>#REF!</v>
      </c>
      <c r="R366" s="170" t="e">
        <f>SUMIFS(#REF!,#REF!,$C364&amp;R$319&amp;$D$359&amp;$G$364)</f>
        <v>#REF!</v>
      </c>
      <c r="S366" s="170" t="e">
        <f>SUMIFS(#REF!,#REF!,$C364&amp;S$319&amp;$D$359&amp;$G$364)</f>
        <v>#REF!</v>
      </c>
      <c r="T366" s="170" t="e">
        <f>SUMIFS(#REF!,#REF!,$C364&amp;T$319&amp;$D$359&amp;$G$364)</f>
        <v>#REF!</v>
      </c>
      <c r="U366" s="170" t="e">
        <f>SUMIFS(#REF!,#REF!,$C364&amp;U$319&amp;$D$359&amp;$G$364)</f>
        <v>#REF!</v>
      </c>
      <c r="V366" s="170" t="e">
        <f>SUMIFS(#REF!,#REF!,$C364&amp;V$319&amp;$D$359&amp;$G$364)</f>
        <v>#REF!</v>
      </c>
      <c r="W366" s="170" t="e">
        <f>SUMIFS(#REF!,#REF!,$C364&amp;W$319&amp;$D$359&amp;$G$364)</f>
        <v>#REF!</v>
      </c>
      <c r="X366" s="170" t="e">
        <f>SUMIFS(#REF!,#REF!,$C364&amp;X$319&amp;$D$359&amp;$G$364)</f>
        <v>#REF!</v>
      </c>
      <c r="Y366" s="170" t="e">
        <f>SUMIFS(#REF!,#REF!,$C364&amp;Y$319&amp;$D$359&amp;$G$364)</f>
        <v>#REF!</v>
      </c>
      <c r="Z366" s="170" t="e">
        <f>SUMIFS(#REF!,#REF!,$C364&amp;Z$319&amp;$D$359&amp;$G$364)</f>
        <v>#REF!</v>
      </c>
      <c r="AA366" s="170" t="e">
        <f>SUMIFS(#REF!,#REF!,$C364&amp;AA$319&amp;$D$359&amp;$G$364)</f>
        <v>#REF!</v>
      </c>
      <c r="AB366" s="170" t="e">
        <f>SUMIFS(#REF!,#REF!,$C364&amp;AB$319&amp;$D$359&amp;$G$364)</f>
        <v>#REF!</v>
      </c>
      <c r="AC366" s="170" t="e">
        <f>SUMIFS(#REF!,#REF!,$C364&amp;AC$319&amp;$D$359&amp;$G$364)</f>
        <v>#REF!</v>
      </c>
      <c r="AD366" s="170" t="e">
        <f>SUMIFS(#REF!,#REF!,$C364&amp;AD$319&amp;$D$359&amp;$G$364)</f>
        <v>#REF!</v>
      </c>
      <c r="AE366" s="170" t="e">
        <f>SUMIFS(#REF!,#REF!,$C364&amp;AE$319&amp;$D$359&amp;$G$364)</f>
        <v>#REF!</v>
      </c>
      <c r="AF366" s="170" t="e">
        <f>SUMIFS(#REF!,#REF!,$C364&amp;AF$319&amp;$D$359&amp;$G$364)</f>
        <v>#REF!</v>
      </c>
      <c r="AG366" s="170" t="e">
        <f>SUMIFS(#REF!,#REF!,$C364&amp;AG$319&amp;$D$359&amp;$G$364)</f>
        <v>#REF!</v>
      </c>
      <c r="AH366" s="170" t="e">
        <f>SUMIFS(#REF!,#REF!,$C364&amp;AH$319&amp;$D$359&amp;$G$364)</f>
        <v>#REF!</v>
      </c>
      <c r="AI366" s="170" t="e">
        <f>SUMIFS(#REF!,#REF!,$C364&amp;AI$319&amp;$D$359&amp;$G$364)</f>
        <v>#REF!</v>
      </c>
      <c r="AJ366" s="170" t="e">
        <f>SUMIFS(#REF!,#REF!,$C364&amp;AJ$319&amp;$D$359&amp;$G$364)</f>
        <v>#REF!</v>
      </c>
      <c r="AK366" s="170" t="e">
        <f>SUMIFS(#REF!,#REF!,$C364&amp;AK$319&amp;$D$359&amp;$G$364)</f>
        <v>#REF!</v>
      </c>
      <c r="AL366" s="170" t="e">
        <f>SUMIFS(#REF!,#REF!,$C364&amp;AL$319&amp;$D$359&amp;$G$364)</f>
        <v>#REF!</v>
      </c>
      <c r="AM366" s="170" t="e">
        <f>SUMIFS(#REF!,#REF!,$C364&amp;AM$319&amp;$D$359&amp;$G$364)</f>
        <v>#REF!</v>
      </c>
      <c r="AN366" s="15"/>
      <c r="AO366" s="15"/>
      <c r="AP366" s="15"/>
      <c r="AQ366" s="15"/>
      <c r="AR366" s="15"/>
      <c r="AS366" s="15"/>
      <c r="AT366" s="15"/>
      <c r="AU366" s="15"/>
      <c r="AV366" s="15"/>
    </row>
    <row r="367" ht="37.2" hidden="1" customHeight="1" spans="1:48">
      <c r="C367" s="165" t="s">
        <v>51</v>
      </c>
      <c r="D367" s="174"/>
      <c r="E367" s="174"/>
      <c r="F367" s="180"/>
      <c r="G367" s="200"/>
      <c r="H367" s="135" t="s">
        <v>110</v>
      </c>
      <c r="I367" s="177">
        <f t="shared" ref="I367:AM367" si="148">IFERROR(I366/I$370,0)</f>
        <v>0</v>
      </c>
      <c r="J367" s="177">
        <f t="shared" si="148"/>
        <v>0</v>
      </c>
      <c r="K367" s="177">
        <f t="shared" si="148"/>
        <v>0</v>
      </c>
      <c r="L367" s="177">
        <f t="shared" si="148"/>
        <v>0</v>
      </c>
      <c r="M367" s="177">
        <f t="shared" si="148"/>
        <v>0</v>
      </c>
      <c r="N367" s="177">
        <f t="shared" si="148"/>
        <v>0</v>
      </c>
      <c r="O367" s="177">
        <f t="shared" si="148"/>
        <v>0</v>
      </c>
      <c r="P367" s="177">
        <f t="shared" si="148"/>
        <v>0</v>
      </c>
      <c r="Q367" s="177">
        <f t="shared" si="148"/>
        <v>0</v>
      </c>
      <c r="R367" s="177">
        <f t="shared" si="148"/>
        <v>0</v>
      </c>
      <c r="S367" s="177">
        <f t="shared" si="148"/>
        <v>0</v>
      </c>
      <c r="T367" s="177">
        <f t="shared" si="148"/>
        <v>0</v>
      </c>
      <c r="U367" s="177">
        <f t="shared" si="148"/>
        <v>0</v>
      </c>
      <c r="V367" s="177">
        <f t="shared" si="148"/>
        <v>0</v>
      </c>
      <c r="W367" s="177">
        <f t="shared" si="148"/>
        <v>0</v>
      </c>
      <c r="X367" s="177">
        <f t="shared" si="148"/>
        <v>0</v>
      </c>
      <c r="Y367" s="182">
        <f t="shared" si="148"/>
        <v>0</v>
      </c>
      <c r="Z367" s="182">
        <f t="shared" si="148"/>
        <v>0</v>
      </c>
      <c r="AA367" s="182">
        <f t="shared" si="148"/>
        <v>0</v>
      </c>
      <c r="AB367" s="182">
        <f t="shared" si="148"/>
        <v>0</v>
      </c>
      <c r="AC367" s="182">
        <f t="shared" si="148"/>
        <v>0</v>
      </c>
      <c r="AD367" s="182">
        <f t="shared" si="148"/>
        <v>0</v>
      </c>
      <c r="AE367" s="182">
        <f t="shared" si="148"/>
        <v>0</v>
      </c>
      <c r="AF367" s="182">
        <f t="shared" si="148"/>
        <v>0</v>
      </c>
      <c r="AG367" s="182">
        <f t="shared" si="148"/>
        <v>0</v>
      </c>
      <c r="AH367" s="182">
        <f t="shared" si="148"/>
        <v>0</v>
      </c>
      <c r="AI367" s="182">
        <f t="shared" si="148"/>
        <v>0</v>
      </c>
      <c r="AJ367" s="182">
        <f t="shared" si="148"/>
        <v>0</v>
      </c>
      <c r="AK367" s="182">
        <f t="shared" si="148"/>
        <v>0</v>
      </c>
      <c r="AL367" s="182">
        <f t="shared" si="148"/>
        <v>0</v>
      </c>
      <c r="AM367" s="182">
        <f t="shared" si="148"/>
        <v>0</v>
      </c>
      <c r="AN367" s="15"/>
      <c r="AO367" s="15"/>
      <c r="AP367" s="15"/>
      <c r="AQ367" s="15"/>
      <c r="AR367" s="15"/>
      <c r="AS367" s="15"/>
      <c r="AT367" s="15"/>
      <c r="AU367" s="15"/>
      <c r="AV367" s="15"/>
    </row>
    <row r="368" s="5" customFormat="1" ht="37.2" hidden="1" customHeight="1" spans="1:48">
      <c r="C368" s="178" t="s">
        <v>51</v>
      </c>
      <c r="D368" s="179"/>
      <c r="E368" s="179"/>
      <c r="F368" s="180"/>
      <c r="G368" s="201"/>
      <c r="H368" s="142" t="s">
        <v>111</v>
      </c>
      <c r="I368" s="176">
        <f t="shared" ref="I368:AM368" si="149">IFERROR(I366/I364,0)</f>
        <v>0</v>
      </c>
      <c r="J368" s="176">
        <f t="shared" si="149"/>
        <v>0</v>
      </c>
      <c r="K368" s="176">
        <f t="shared" si="149"/>
        <v>0</v>
      </c>
      <c r="L368" s="176">
        <f t="shared" si="149"/>
        <v>0</v>
      </c>
      <c r="M368" s="176">
        <f t="shared" si="149"/>
        <v>0</v>
      </c>
      <c r="N368" s="176">
        <f t="shared" si="149"/>
        <v>0</v>
      </c>
      <c r="O368" s="176">
        <f t="shared" si="149"/>
        <v>0</v>
      </c>
      <c r="P368" s="176">
        <f t="shared" si="149"/>
        <v>0</v>
      </c>
      <c r="Q368" s="176">
        <f t="shared" si="149"/>
        <v>0</v>
      </c>
      <c r="R368" s="176">
        <f t="shared" si="149"/>
        <v>0</v>
      </c>
      <c r="S368" s="176">
        <f t="shared" si="149"/>
        <v>0</v>
      </c>
      <c r="T368" s="176">
        <f t="shared" si="149"/>
        <v>0</v>
      </c>
      <c r="U368" s="176">
        <f t="shared" si="149"/>
        <v>0</v>
      </c>
      <c r="V368" s="176">
        <f t="shared" si="149"/>
        <v>0</v>
      </c>
      <c r="W368" s="176">
        <f t="shared" si="149"/>
        <v>0</v>
      </c>
      <c r="X368" s="176">
        <f t="shared" si="149"/>
        <v>0</v>
      </c>
      <c r="Y368" s="176">
        <f t="shared" si="149"/>
        <v>0</v>
      </c>
      <c r="Z368" s="176">
        <f t="shared" si="149"/>
        <v>0</v>
      </c>
      <c r="AA368" s="176">
        <f t="shared" si="149"/>
        <v>0</v>
      </c>
      <c r="AB368" s="176">
        <f t="shared" si="149"/>
        <v>0</v>
      </c>
      <c r="AC368" s="176">
        <f t="shared" si="149"/>
        <v>0</v>
      </c>
      <c r="AD368" s="176">
        <f t="shared" si="149"/>
        <v>0</v>
      </c>
      <c r="AE368" s="176">
        <f t="shared" si="149"/>
        <v>0</v>
      </c>
      <c r="AF368" s="176">
        <f t="shared" si="149"/>
        <v>0</v>
      </c>
      <c r="AG368" s="176">
        <f t="shared" si="149"/>
        <v>0</v>
      </c>
      <c r="AH368" s="176">
        <f t="shared" si="149"/>
        <v>0</v>
      </c>
      <c r="AI368" s="176">
        <f t="shared" si="149"/>
        <v>0</v>
      </c>
      <c r="AJ368" s="176">
        <f t="shared" si="149"/>
        <v>0</v>
      </c>
      <c r="AK368" s="176">
        <f t="shared" si="149"/>
        <v>0</v>
      </c>
      <c r="AL368" s="176">
        <f t="shared" si="149"/>
        <v>0</v>
      </c>
      <c r="AM368" s="176">
        <f t="shared" si="149"/>
        <v>0</v>
      </c>
    </row>
    <row r="369" ht="37.2" hidden="1" customHeight="1" spans="3:48">
      <c r="C369" s="165" t="s">
        <v>51</v>
      </c>
      <c r="D369" s="174"/>
      <c r="E369" s="174"/>
      <c r="F369" s="175"/>
      <c r="G369" s="202" t="s">
        <v>38</v>
      </c>
      <c r="H369" s="135" t="s">
        <v>107</v>
      </c>
      <c r="I369" s="171">
        <f>SUM(J369:HU369)</f>
        <v>32582</v>
      </c>
      <c r="J369" s="171">
        <v>1631</v>
      </c>
      <c r="K369" s="171">
        <v>977</v>
      </c>
      <c r="L369" s="171">
        <v>1303</v>
      </c>
      <c r="M369" s="171">
        <v>1303</v>
      </c>
      <c r="N369" s="171">
        <v>977</v>
      </c>
      <c r="O369" s="171">
        <v>1303</v>
      </c>
      <c r="P369" s="171">
        <v>1140</v>
      </c>
      <c r="Q369" s="171">
        <v>977</v>
      </c>
      <c r="R369" s="171">
        <v>1140</v>
      </c>
      <c r="S369" s="171">
        <v>977</v>
      </c>
      <c r="T369" s="171">
        <v>977</v>
      </c>
      <c r="U369" s="171">
        <v>977</v>
      </c>
      <c r="V369" s="171">
        <v>977</v>
      </c>
      <c r="W369" s="171">
        <v>1303</v>
      </c>
      <c r="X369" s="171">
        <v>1303</v>
      </c>
      <c r="Y369" s="171">
        <v>1629</v>
      </c>
      <c r="Z369" s="171">
        <v>1303</v>
      </c>
      <c r="AA369" s="171">
        <v>1955</v>
      </c>
      <c r="AB369" s="171">
        <v>977</v>
      </c>
      <c r="AC369" s="171">
        <v>1303</v>
      </c>
      <c r="AD369" s="171">
        <v>815</v>
      </c>
      <c r="AE369" s="171">
        <v>815</v>
      </c>
      <c r="AF369" s="171">
        <v>815</v>
      </c>
      <c r="AG369" s="171">
        <v>815</v>
      </c>
      <c r="AH369" s="171">
        <v>815</v>
      </c>
      <c r="AI369" s="171">
        <v>815</v>
      </c>
      <c r="AJ369" s="171">
        <v>815</v>
      </c>
      <c r="AK369" s="182">
        <v>815</v>
      </c>
      <c r="AL369" s="182">
        <v>815</v>
      </c>
      <c r="AM369" s="182">
        <v>815</v>
      </c>
      <c r="AN369" s="15"/>
      <c r="AO369" s="15"/>
      <c r="AP369" s="15"/>
      <c r="AQ369" s="15"/>
      <c r="AR369" s="15"/>
      <c r="AS369" s="15"/>
      <c r="AT369" s="15"/>
      <c r="AU369" s="15"/>
      <c r="AV369" s="15"/>
    </row>
    <row r="370" ht="37.2" hidden="1" customHeight="1" spans="3:48">
      <c r="C370" s="165" t="s">
        <v>51</v>
      </c>
      <c r="D370" s="174"/>
      <c r="E370" s="174"/>
      <c r="F370" s="175"/>
      <c r="G370" s="200"/>
      <c r="H370" s="135" t="s">
        <v>109</v>
      </c>
      <c r="I370" s="170" t="e">
        <f>SUM(J370:HU370)</f>
        <v>#REF!</v>
      </c>
      <c r="J370" s="171" t="e">
        <f t="shared" ref="J370:AM370" si="150">J361+J366</f>
        <v>#REF!</v>
      </c>
      <c r="K370" s="171" t="e">
        <f t="shared" si="150"/>
        <v>#REF!</v>
      </c>
      <c r="L370" s="171" t="e">
        <f t="shared" si="150"/>
        <v>#REF!</v>
      </c>
      <c r="M370" s="171" t="e">
        <f t="shared" si="150"/>
        <v>#REF!</v>
      </c>
      <c r="N370" s="171" t="e">
        <f t="shared" si="150"/>
        <v>#REF!</v>
      </c>
      <c r="O370" s="171" t="e">
        <f t="shared" si="150"/>
        <v>#REF!</v>
      </c>
      <c r="P370" s="171" t="e">
        <f t="shared" si="150"/>
        <v>#REF!</v>
      </c>
      <c r="Q370" s="171" t="e">
        <f t="shared" si="150"/>
        <v>#REF!</v>
      </c>
      <c r="R370" s="171" t="e">
        <f t="shared" si="150"/>
        <v>#REF!</v>
      </c>
      <c r="S370" s="171" t="e">
        <f t="shared" si="150"/>
        <v>#REF!</v>
      </c>
      <c r="T370" s="171" t="e">
        <f t="shared" si="150"/>
        <v>#REF!</v>
      </c>
      <c r="U370" s="171" t="e">
        <f t="shared" si="150"/>
        <v>#REF!</v>
      </c>
      <c r="V370" s="171" t="e">
        <f t="shared" si="150"/>
        <v>#REF!</v>
      </c>
      <c r="W370" s="171" t="e">
        <f t="shared" si="150"/>
        <v>#REF!</v>
      </c>
      <c r="X370" s="171" t="e">
        <f t="shared" si="150"/>
        <v>#REF!</v>
      </c>
      <c r="Y370" s="171" t="e">
        <f t="shared" si="150"/>
        <v>#REF!</v>
      </c>
      <c r="Z370" s="171" t="e">
        <f t="shared" si="150"/>
        <v>#REF!</v>
      </c>
      <c r="AA370" s="171" t="e">
        <f t="shared" si="150"/>
        <v>#REF!</v>
      </c>
      <c r="AB370" s="171" t="e">
        <f t="shared" si="150"/>
        <v>#REF!</v>
      </c>
      <c r="AC370" s="171" t="e">
        <f t="shared" si="150"/>
        <v>#REF!</v>
      </c>
      <c r="AD370" s="171" t="e">
        <f t="shared" si="150"/>
        <v>#REF!</v>
      </c>
      <c r="AE370" s="171" t="e">
        <f t="shared" si="150"/>
        <v>#REF!</v>
      </c>
      <c r="AF370" s="171" t="e">
        <f t="shared" si="150"/>
        <v>#REF!</v>
      </c>
      <c r="AG370" s="171" t="e">
        <f t="shared" si="150"/>
        <v>#REF!</v>
      </c>
      <c r="AH370" s="171" t="e">
        <f t="shared" si="150"/>
        <v>#REF!</v>
      </c>
      <c r="AI370" s="171" t="e">
        <f t="shared" si="150"/>
        <v>#REF!</v>
      </c>
      <c r="AJ370" s="171" t="e">
        <f t="shared" si="150"/>
        <v>#REF!</v>
      </c>
      <c r="AK370" s="171" t="e">
        <f t="shared" si="150"/>
        <v>#REF!</v>
      </c>
      <c r="AL370" s="171" t="e">
        <f t="shared" si="150"/>
        <v>#REF!</v>
      </c>
      <c r="AM370" s="171" t="e">
        <f t="shared" si="150"/>
        <v>#REF!</v>
      </c>
      <c r="AN370" s="15"/>
      <c r="AO370" s="15"/>
      <c r="AP370" s="15"/>
      <c r="AQ370" s="15"/>
      <c r="AR370" s="15"/>
      <c r="AS370" s="15"/>
      <c r="AT370" s="15"/>
      <c r="AU370" s="15"/>
      <c r="AV370" s="15"/>
    </row>
    <row r="371" s="5" customFormat="1" ht="37.2" hidden="1" customHeight="1" spans="3:48">
      <c r="C371" s="178" t="s">
        <v>51</v>
      </c>
      <c r="D371" s="183"/>
      <c r="E371" s="183"/>
      <c r="F371" s="184"/>
      <c r="G371" s="201"/>
      <c r="H371" s="142" t="s">
        <v>111</v>
      </c>
      <c r="I371" s="176">
        <f t="shared" ref="I371:AM371" si="151">IFERROR(I370/I369,0)</f>
        <v>0</v>
      </c>
      <c r="J371" s="176">
        <f t="shared" si="151"/>
        <v>0</v>
      </c>
      <c r="K371" s="176">
        <f t="shared" si="151"/>
        <v>0</v>
      </c>
      <c r="L371" s="176">
        <f t="shared" si="151"/>
        <v>0</v>
      </c>
      <c r="M371" s="176">
        <f t="shared" si="151"/>
        <v>0</v>
      </c>
      <c r="N371" s="176">
        <f t="shared" si="151"/>
        <v>0</v>
      </c>
      <c r="O371" s="176">
        <f t="shared" si="151"/>
        <v>0</v>
      </c>
      <c r="P371" s="176">
        <f t="shared" si="151"/>
        <v>0</v>
      </c>
      <c r="Q371" s="176">
        <f t="shared" si="151"/>
        <v>0</v>
      </c>
      <c r="R371" s="176">
        <f t="shared" si="151"/>
        <v>0</v>
      </c>
      <c r="S371" s="176">
        <f t="shared" si="151"/>
        <v>0</v>
      </c>
      <c r="T371" s="176">
        <f t="shared" si="151"/>
        <v>0</v>
      </c>
      <c r="U371" s="176">
        <f t="shared" si="151"/>
        <v>0</v>
      </c>
      <c r="V371" s="176">
        <f t="shared" si="151"/>
        <v>0</v>
      </c>
      <c r="W371" s="176">
        <f t="shared" si="151"/>
        <v>0</v>
      </c>
      <c r="X371" s="176">
        <f t="shared" si="151"/>
        <v>0</v>
      </c>
      <c r="Y371" s="176">
        <f t="shared" si="151"/>
        <v>0</v>
      </c>
      <c r="Z371" s="176">
        <f t="shared" si="151"/>
        <v>0</v>
      </c>
      <c r="AA371" s="176">
        <f t="shared" si="151"/>
        <v>0</v>
      </c>
      <c r="AB371" s="176">
        <f t="shared" si="151"/>
        <v>0</v>
      </c>
      <c r="AC371" s="176">
        <f t="shared" si="151"/>
        <v>0</v>
      </c>
      <c r="AD371" s="176">
        <f t="shared" si="151"/>
        <v>0</v>
      </c>
      <c r="AE371" s="176">
        <f t="shared" si="151"/>
        <v>0</v>
      </c>
      <c r="AF371" s="176">
        <f t="shared" si="151"/>
        <v>0</v>
      </c>
      <c r="AG371" s="176">
        <f t="shared" si="151"/>
        <v>0</v>
      </c>
      <c r="AH371" s="176">
        <f t="shared" si="151"/>
        <v>0</v>
      </c>
      <c r="AI371" s="176">
        <f t="shared" si="151"/>
        <v>0</v>
      </c>
      <c r="AJ371" s="176">
        <f t="shared" si="151"/>
        <v>0</v>
      </c>
      <c r="AK371" s="176">
        <f t="shared" si="151"/>
        <v>0</v>
      </c>
      <c r="AL371" s="176">
        <f t="shared" si="151"/>
        <v>0</v>
      </c>
      <c r="AM371" s="176">
        <f t="shared" si="151"/>
        <v>0</v>
      </c>
    </row>
    <row r="372" ht="37.2" hidden="1" customHeight="1" spans="3:48">
      <c r="C372" s="165" t="s">
        <v>51</v>
      </c>
      <c r="D372" s="203" t="s">
        <v>38</v>
      </c>
      <c r="E372" s="204"/>
      <c r="F372" s="204"/>
      <c r="G372" s="199" t="s">
        <v>106</v>
      </c>
      <c r="H372" s="169" t="s">
        <v>107</v>
      </c>
      <c r="I372" s="171">
        <f>SUM(J372:HU372)</f>
        <v>112387</v>
      </c>
      <c r="J372" s="171">
        <v>5605</v>
      </c>
      <c r="K372" s="171">
        <v>3372</v>
      </c>
      <c r="L372" s="171">
        <v>4496</v>
      </c>
      <c r="M372" s="171">
        <v>4496</v>
      </c>
      <c r="N372" s="171">
        <v>3372</v>
      </c>
      <c r="O372" s="171">
        <v>4496</v>
      </c>
      <c r="P372" s="171">
        <v>3934</v>
      </c>
      <c r="Q372" s="171">
        <v>3372</v>
      </c>
      <c r="R372" s="171">
        <v>3934</v>
      </c>
      <c r="S372" s="171">
        <v>3372</v>
      </c>
      <c r="T372" s="171">
        <v>3372</v>
      </c>
      <c r="U372" s="171">
        <v>3372</v>
      </c>
      <c r="V372" s="171">
        <v>3372</v>
      </c>
      <c r="W372" s="171">
        <v>4496</v>
      </c>
      <c r="X372" s="171">
        <v>4496</v>
      </c>
      <c r="Y372" s="171">
        <v>5620</v>
      </c>
      <c r="Z372" s="171">
        <v>4496</v>
      </c>
      <c r="AA372" s="171">
        <v>6746</v>
      </c>
      <c r="AB372" s="171">
        <v>3372</v>
      </c>
      <c r="AC372" s="171">
        <v>4496</v>
      </c>
      <c r="AD372" s="171">
        <v>2810</v>
      </c>
      <c r="AE372" s="171">
        <v>2810</v>
      </c>
      <c r="AF372" s="171">
        <v>2810</v>
      </c>
      <c r="AG372" s="171">
        <v>2810</v>
      </c>
      <c r="AH372" s="171">
        <v>2810</v>
      </c>
      <c r="AI372" s="171">
        <v>2810</v>
      </c>
      <c r="AJ372" s="171">
        <v>2810</v>
      </c>
      <c r="AK372" s="182">
        <v>2810</v>
      </c>
      <c r="AL372" s="182">
        <v>2810</v>
      </c>
      <c r="AM372" s="182">
        <v>2810</v>
      </c>
      <c r="AN372" s="15"/>
      <c r="AO372" s="15"/>
      <c r="AP372" s="15"/>
      <c r="AQ372" s="15"/>
      <c r="AR372" s="15"/>
      <c r="AS372" s="15"/>
      <c r="AT372" s="15"/>
      <c r="AU372" s="15"/>
      <c r="AV372" s="15"/>
    </row>
    <row r="373" ht="37.2" hidden="1" customHeight="1" spans="3:48">
      <c r="C373" s="165" t="s">
        <v>51</v>
      </c>
      <c r="D373" s="204"/>
      <c r="E373" s="204"/>
      <c r="F373" s="204"/>
      <c r="G373" s="200"/>
      <c r="H373" s="135" t="s">
        <v>108</v>
      </c>
      <c r="I373" s="176">
        <v>0.65</v>
      </c>
      <c r="J373" s="176">
        <v>0.65</v>
      </c>
      <c r="K373" s="176">
        <v>0.65</v>
      </c>
      <c r="L373" s="176">
        <v>0.65</v>
      </c>
      <c r="M373" s="176">
        <v>0.65</v>
      </c>
      <c r="N373" s="176">
        <v>0.65</v>
      </c>
      <c r="O373" s="176">
        <v>0.65</v>
      </c>
      <c r="P373" s="176">
        <v>0.65</v>
      </c>
      <c r="Q373" s="176">
        <v>0.65</v>
      </c>
      <c r="R373" s="176">
        <v>0.65</v>
      </c>
      <c r="S373" s="176">
        <v>0.65</v>
      </c>
      <c r="T373" s="176">
        <v>0.65</v>
      </c>
      <c r="U373" s="176">
        <v>0.65</v>
      </c>
      <c r="V373" s="176">
        <v>0.65</v>
      </c>
      <c r="W373" s="176">
        <v>0.65</v>
      </c>
      <c r="X373" s="176">
        <v>0.65</v>
      </c>
      <c r="Y373" s="176">
        <v>0.65</v>
      </c>
      <c r="Z373" s="176">
        <v>0.65</v>
      </c>
      <c r="AA373" s="176">
        <v>0.65</v>
      </c>
      <c r="AB373" s="176">
        <v>0.65</v>
      </c>
      <c r="AC373" s="176">
        <v>0.65</v>
      </c>
      <c r="AD373" s="176">
        <v>0.65</v>
      </c>
      <c r="AE373" s="176">
        <v>0.65</v>
      </c>
      <c r="AF373" s="176">
        <v>0.65</v>
      </c>
      <c r="AG373" s="176">
        <v>0.65</v>
      </c>
      <c r="AH373" s="176">
        <v>0.65</v>
      </c>
      <c r="AI373" s="176">
        <v>0.65</v>
      </c>
      <c r="AJ373" s="176">
        <v>0.65</v>
      </c>
      <c r="AK373" s="177">
        <v>0.65</v>
      </c>
      <c r="AL373" s="177">
        <v>0.65</v>
      </c>
      <c r="AM373" s="177">
        <v>0.65</v>
      </c>
      <c r="AN373" s="15"/>
      <c r="AO373" s="15"/>
      <c r="AP373" s="15"/>
      <c r="AQ373" s="15"/>
      <c r="AR373" s="15"/>
      <c r="AS373" s="15"/>
      <c r="AT373" s="15"/>
      <c r="AU373" s="15"/>
      <c r="AV373" s="15"/>
    </row>
    <row r="374" ht="37.2" hidden="1" customHeight="1" spans="3:48">
      <c r="C374" s="165" t="s">
        <v>51</v>
      </c>
      <c r="D374" s="204"/>
      <c r="E374" s="204"/>
      <c r="F374" s="204"/>
      <c r="G374" s="200"/>
      <c r="H374" s="135" t="s">
        <v>109</v>
      </c>
      <c r="I374" s="170" t="e">
        <f>SUM(J374:HU374)</f>
        <v>#REF!</v>
      </c>
      <c r="J374" s="170" t="e">
        <f t="shared" ref="J374:AM374" si="152">J322+J335+J348+J361</f>
        <v>#REF!</v>
      </c>
      <c r="K374" s="170" t="e">
        <f t="shared" si="152"/>
        <v>#REF!</v>
      </c>
      <c r="L374" s="170" t="e">
        <f t="shared" si="152"/>
        <v>#REF!</v>
      </c>
      <c r="M374" s="170" t="e">
        <f t="shared" si="152"/>
        <v>#REF!</v>
      </c>
      <c r="N374" s="170" t="e">
        <f t="shared" si="152"/>
        <v>#REF!</v>
      </c>
      <c r="O374" s="170" t="e">
        <f t="shared" si="152"/>
        <v>#REF!</v>
      </c>
      <c r="P374" s="170" t="e">
        <f t="shared" si="152"/>
        <v>#REF!</v>
      </c>
      <c r="Q374" s="170" t="e">
        <f t="shared" si="152"/>
        <v>#REF!</v>
      </c>
      <c r="R374" s="170" t="e">
        <f t="shared" si="152"/>
        <v>#REF!</v>
      </c>
      <c r="S374" s="170" t="e">
        <f t="shared" si="152"/>
        <v>#REF!</v>
      </c>
      <c r="T374" s="170" t="e">
        <f t="shared" si="152"/>
        <v>#REF!</v>
      </c>
      <c r="U374" s="170" t="e">
        <f t="shared" si="152"/>
        <v>#REF!</v>
      </c>
      <c r="V374" s="170" t="e">
        <f t="shared" si="152"/>
        <v>#REF!</v>
      </c>
      <c r="W374" s="170" t="e">
        <f t="shared" si="152"/>
        <v>#REF!</v>
      </c>
      <c r="X374" s="170" t="e">
        <f t="shared" si="152"/>
        <v>#REF!</v>
      </c>
      <c r="Y374" s="170" t="e">
        <f t="shared" si="152"/>
        <v>#REF!</v>
      </c>
      <c r="Z374" s="170" t="e">
        <f t="shared" si="152"/>
        <v>#REF!</v>
      </c>
      <c r="AA374" s="170" t="e">
        <f t="shared" si="152"/>
        <v>#REF!</v>
      </c>
      <c r="AB374" s="170" t="e">
        <f t="shared" si="152"/>
        <v>#REF!</v>
      </c>
      <c r="AC374" s="170" t="e">
        <f t="shared" si="152"/>
        <v>#REF!</v>
      </c>
      <c r="AD374" s="170" t="e">
        <f t="shared" si="152"/>
        <v>#REF!</v>
      </c>
      <c r="AE374" s="170" t="e">
        <f t="shared" si="152"/>
        <v>#REF!</v>
      </c>
      <c r="AF374" s="170" t="e">
        <f t="shared" si="152"/>
        <v>#REF!</v>
      </c>
      <c r="AG374" s="170" t="e">
        <f t="shared" si="152"/>
        <v>#REF!</v>
      </c>
      <c r="AH374" s="170" t="e">
        <f t="shared" si="152"/>
        <v>#REF!</v>
      </c>
      <c r="AI374" s="170" t="e">
        <f t="shared" si="152"/>
        <v>#REF!</v>
      </c>
      <c r="AJ374" s="170" t="e">
        <f t="shared" si="152"/>
        <v>#REF!</v>
      </c>
      <c r="AK374" s="170" t="e">
        <f t="shared" si="152"/>
        <v>#REF!</v>
      </c>
      <c r="AL374" s="170" t="e">
        <f t="shared" si="152"/>
        <v>#REF!</v>
      </c>
      <c r="AM374" s="170" t="e">
        <f t="shared" si="152"/>
        <v>#REF!</v>
      </c>
      <c r="AN374" s="15"/>
      <c r="AO374" s="15"/>
      <c r="AP374" s="15"/>
      <c r="AQ374" s="15"/>
      <c r="AR374" s="15"/>
      <c r="AS374" s="15"/>
      <c r="AT374" s="15"/>
      <c r="AU374" s="15"/>
      <c r="AV374" s="15"/>
    </row>
    <row r="375" s="5" customFormat="1" ht="37.2" hidden="1" customHeight="1" spans="3:48">
      <c r="C375" s="178" t="s">
        <v>51</v>
      </c>
      <c r="D375" s="205"/>
      <c r="E375" s="205"/>
      <c r="F375" s="205"/>
      <c r="G375" s="201"/>
      <c r="H375" s="142" t="s">
        <v>110</v>
      </c>
      <c r="I375" s="177">
        <f t="shared" ref="I375:AM375" si="153">IFERROR(I374/I$383,0)</f>
        <v>0</v>
      </c>
      <c r="J375" s="177">
        <f t="shared" si="153"/>
        <v>0</v>
      </c>
      <c r="K375" s="177">
        <f t="shared" si="153"/>
        <v>0</v>
      </c>
      <c r="L375" s="177">
        <f t="shared" si="153"/>
        <v>0</v>
      </c>
      <c r="M375" s="177">
        <f t="shared" si="153"/>
        <v>0</v>
      </c>
      <c r="N375" s="177">
        <f t="shared" si="153"/>
        <v>0</v>
      </c>
      <c r="O375" s="177">
        <f t="shared" si="153"/>
        <v>0</v>
      </c>
      <c r="P375" s="177">
        <f t="shared" si="153"/>
        <v>0</v>
      </c>
      <c r="Q375" s="177">
        <f t="shared" si="153"/>
        <v>0</v>
      </c>
      <c r="R375" s="177">
        <f t="shared" si="153"/>
        <v>0</v>
      </c>
      <c r="S375" s="177">
        <f t="shared" si="153"/>
        <v>0</v>
      </c>
      <c r="T375" s="177">
        <f t="shared" si="153"/>
        <v>0</v>
      </c>
      <c r="U375" s="177">
        <f t="shared" si="153"/>
        <v>0</v>
      </c>
      <c r="V375" s="177">
        <f t="shared" si="153"/>
        <v>0</v>
      </c>
      <c r="W375" s="177">
        <f t="shared" si="153"/>
        <v>0</v>
      </c>
      <c r="X375" s="177">
        <f t="shared" si="153"/>
        <v>0</v>
      </c>
      <c r="Y375" s="177">
        <f t="shared" si="153"/>
        <v>0</v>
      </c>
      <c r="Z375" s="177">
        <f t="shared" si="153"/>
        <v>0</v>
      </c>
      <c r="AA375" s="177">
        <f t="shared" si="153"/>
        <v>0</v>
      </c>
      <c r="AB375" s="177">
        <f t="shared" si="153"/>
        <v>0</v>
      </c>
      <c r="AC375" s="177">
        <f t="shared" si="153"/>
        <v>0</v>
      </c>
      <c r="AD375" s="177">
        <f t="shared" si="153"/>
        <v>0</v>
      </c>
      <c r="AE375" s="177">
        <f t="shared" si="153"/>
        <v>0</v>
      </c>
      <c r="AF375" s="177">
        <f t="shared" si="153"/>
        <v>0</v>
      </c>
      <c r="AG375" s="177">
        <f t="shared" si="153"/>
        <v>0</v>
      </c>
      <c r="AH375" s="177">
        <f t="shared" si="153"/>
        <v>0</v>
      </c>
      <c r="AI375" s="177">
        <f t="shared" si="153"/>
        <v>0</v>
      </c>
      <c r="AJ375" s="177">
        <f t="shared" si="153"/>
        <v>0</v>
      </c>
      <c r="AK375" s="177">
        <f t="shared" si="153"/>
        <v>0</v>
      </c>
      <c r="AL375" s="177">
        <f t="shared" si="153"/>
        <v>0</v>
      </c>
      <c r="AM375" s="177">
        <f t="shared" si="153"/>
        <v>0</v>
      </c>
    </row>
    <row r="376" s="5" customFormat="1" ht="37.2" hidden="1" customHeight="1" spans="3:48">
      <c r="C376" s="178" t="s">
        <v>51</v>
      </c>
      <c r="D376" s="205"/>
      <c r="E376" s="205"/>
      <c r="F376" s="205"/>
      <c r="G376" s="201"/>
      <c r="H376" s="142" t="s">
        <v>111</v>
      </c>
      <c r="I376" s="176">
        <f t="shared" ref="I376:AM376" si="154">IFERROR(I374/I372,0)</f>
        <v>0</v>
      </c>
      <c r="J376" s="176">
        <f t="shared" si="154"/>
        <v>0</v>
      </c>
      <c r="K376" s="176">
        <f t="shared" si="154"/>
        <v>0</v>
      </c>
      <c r="L376" s="176">
        <f t="shared" si="154"/>
        <v>0</v>
      </c>
      <c r="M376" s="176">
        <f t="shared" si="154"/>
        <v>0</v>
      </c>
      <c r="N376" s="176">
        <f t="shared" si="154"/>
        <v>0</v>
      </c>
      <c r="O376" s="176">
        <f t="shared" si="154"/>
        <v>0</v>
      </c>
      <c r="P376" s="176">
        <f t="shared" si="154"/>
        <v>0</v>
      </c>
      <c r="Q376" s="176">
        <f t="shared" si="154"/>
        <v>0</v>
      </c>
      <c r="R376" s="176">
        <f t="shared" si="154"/>
        <v>0</v>
      </c>
      <c r="S376" s="176">
        <f t="shared" si="154"/>
        <v>0</v>
      </c>
      <c r="T376" s="176">
        <f t="shared" si="154"/>
        <v>0</v>
      </c>
      <c r="U376" s="176">
        <f t="shared" si="154"/>
        <v>0</v>
      </c>
      <c r="V376" s="176">
        <f t="shared" si="154"/>
        <v>0</v>
      </c>
      <c r="W376" s="176">
        <f t="shared" si="154"/>
        <v>0</v>
      </c>
      <c r="X376" s="176">
        <f t="shared" si="154"/>
        <v>0</v>
      </c>
      <c r="Y376" s="176">
        <f t="shared" si="154"/>
        <v>0</v>
      </c>
      <c r="Z376" s="176">
        <f t="shared" si="154"/>
        <v>0</v>
      </c>
      <c r="AA376" s="176">
        <f t="shared" si="154"/>
        <v>0</v>
      </c>
      <c r="AB376" s="176">
        <f t="shared" si="154"/>
        <v>0</v>
      </c>
      <c r="AC376" s="176">
        <f t="shared" si="154"/>
        <v>0</v>
      </c>
      <c r="AD376" s="176">
        <f t="shared" si="154"/>
        <v>0</v>
      </c>
      <c r="AE376" s="176">
        <f t="shared" si="154"/>
        <v>0</v>
      </c>
      <c r="AF376" s="176">
        <f t="shared" si="154"/>
        <v>0</v>
      </c>
      <c r="AG376" s="176">
        <f t="shared" si="154"/>
        <v>0</v>
      </c>
      <c r="AH376" s="176">
        <f t="shared" si="154"/>
        <v>0</v>
      </c>
      <c r="AI376" s="176">
        <f t="shared" si="154"/>
        <v>0</v>
      </c>
      <c r="AJ376" s="176">
        <f t="shared" si="154"/>
        <v>0</v>
      </c>
      <c r="AK376" s="176">
        <f t="shared" si="154"/>
        <v>0</v>
      </c>
      <c r="AL376" s="176">
        <f t="shared" si="154"/>
        <v>0</v>
      </c>
      <c r="AM376" s="176">
        <f t="shared" si="154"/>
        <v>0</v>
      </c>
    </row>
    <row r="377" ht="37.2" hidden="1" customHeight="1" spans="3:48">
      <c r="C377" s="165" t="s">
        <v>51</v>
      </c>
      <c r="D377" s="204"/>
      <c r="E377" s="204"/>
      <c r="F377" s="204"/>
      <c r="G377" s="202" t="s">
        <v>112</v>
      </c>
      <c r="H377" s="135" t="s">
        <v>107</v>
      </c>
      <c r="I377" s="171">
        <f>SUM(J377:HU377)</f>
        <v>50497</v>
      </c>
      <c r="J377" s="171">
        <v>2526</v>
      </c>
      <c r="K377" s="171">
        <v>1515</v>
      </c>
      <c r="L377" s="171">
        <v>2020</v>
      </c>
      <c r="M377" s="171">
        <v>2020</v>
      </c>
      <c r="N377" s="171">
        <v>1515</v>
      </c>
      <c r="O377" s="171">
        <v>2020</v>
      </c>
      <c r="P377" s="171">
        <v>1767</v>
      </c>
      <c r="Q377" s="171">
        <v>1515</v>
      </c>
      <c r="R377" s="171">
        <v>1767</v>
      </c>
      <c r="S377" s="171">
        <v>1515</v>
      </c>
      <c r="T377" s="171">
        <v>1515</v>
      </c>
      <c r="U377" s="171">
        <v>1515</v>
      </c>
      <c r="V377" s="171">
        <v>1515</v>
      </c>
      <c r="W377" s="171">
        <v>2020</v>
      </c>
      <c r="X377" s="171">
        <v>2020</v>
      </c>
      <c r="Y377" s="171">
        <v>2526</v>
      </c>
      <c r="Z377" s="171">
        <v>2020</v>
      </c>
      <c r="AA377" s="171">
        <v>3031</v>
      </c>
      <c r="AB377" s="171">
        <v>1515</v>
      </c>
      <c r="AC377" s="171">
        <v>2020</v>
      </c>
      <c r="AD377" s="171">
        <v>1262</v>
      </c>
      <c r="AE377" s="171">
        <v>1262</v>
      </c>
      <c r="AF377" s="171">
        <v>1262</v>
      </c>
      <c r="AG377" s="171">
        <v>1262</v>
      </c>
      <c r="AH377" s="171">
        <v>1262</v>
      </c>
      <c r="AI377" s="171">
        <v>1262</v>
      </c>
      <c r="AJ377" s="171">
        <v>1262</v>
      </c>
      <c r="AK377" s="182">
        <v>1262</v>
      </c>
      <c r="AL377" s="182">
        <v>1262</v>
      </c>
      <c r="AM377" s="182">
        <v>1262</v>
      </c>
      <c r="AN377" s="15"/>
      <c r="AO377" s="15"/>
      <c r="AP377" s="15"/>
      <c r="AQ377" s="15"/>
      <c r="AR377" s="15"/>
      <c r="AS377" s="15"/>
      <c r="AT377" s="15"/>
      <c r="AU377" s="15"/>
      <c r="AV377" s="15"/>
    </row>
    <row r="378" ht="37.2" hidden="1" customHeight="1" spans="3:48">
      <c r="C378" s="165" t="s">
        <v>51</v>
      </c>
      <c r="D378" s="204"/>
      <c r="E378" s="204"/>
      <c r="F378" s="204"/>
      <c r="G378" s="200"/>
      <c r="H378" s="135" t="s">
        <v>108</v>
      </c>
      <c r="I378" s="176">
        <v>0.35</v>
      </c>
      <c r="J378" s="176">
        <v>0.35</v>
      </c>
      <c r="K378" s="176">
        <v>0.35</v>
      </c>
      <c r="L378" s="176">
        <v>0.35</v>
      </c>
      <c r="M378" s="176">
        <v>0.35</v>
      </c>
      <c r="N378" s="176">
        <v>0.35</v>
      </c>
      <c r="O378" s="176">
        <v>0.35</v>
      </c>
      <c r="P378" s="176">
        <v>0.35</v>
      </c>
      <c r="Q378" s="176">
        <v>0.35</v>
      </c>
      <c r="R378" s="176">
        <v>0.35</v>
      </c>
      <c r="S378" s="176">
        <v>0.35</v>
      </c>
      <c r="T378" s="176">
        <v>0.35</v>
      </c>
      <c r="U378" s="176">
        <v>0.35</v>
      </c>
      <c r="V378" s="176">
        <v>0.35</v>
      </c>
      <c r="W378" s="176">
        <v>0.35</v>
      </c>
      <c r="X378" s="176">
        <v>0.35</v>
      </c>
      <c r="Y378" s="176">
        <v>0.35</v>
      </c>
      <c r="Z378" s="176">
        <v>0.35</v>
      </c>
      <c r="AA378" s="176">
        <v>0.35</v>
      </c>
      <c r="AB378" s="176">
        <v>0.35</v>
      </c>
      <c r="AC378" s="176">
        <v>0.35</v>
      </c>
      <c r="AD378" s="176">
        <v>0.35</v>
      </c>
      <c r="AE378" s="176">
        <v>0.35</v>
      </c>
      <c r="AF378" s="176">
        <v>0.35</v>
      </c>
      <c r="AG378" s="176">
        <v>0.35</v>
      </c>
      <c r="AH378" s="176">
        <v>0.35</v>
      </c>
      <c r="AI378" s="176">
        <v>0.35</v>
      </c>
      <c r="AJ378" s="176">
        <v>0.35</v>
      </c>
      <c r="AK378" s="177">
        <v>0.35</v>
      </c>
      <c r="AL378" s="177">
        <v>0.35</v>
      </c>
      <c r="AM378" s="177">
        <v>0.35</v>
      </c>
      <c r="AN378" s="15"/>
      <c r="AO378" s="15"/>
      <c r="AP378" s="15"/>
      <c r="AQ378" s="15"/>
      <c r="AR378" s="15"/>
      <c r="AS378" s="15"/>
      <c r="AT378" s="15"/>
      <c r="AU378" s="15"/>
      <c r="AV378" s="15"/>
    </row>
    <row r="379" ht="37.2" hidden="1" customHeight="1" spans="3:48">
      <c r="C379" s="165" t="s">
        <v>51</v>
      </c>
      <c r="D379" s="204"/>
      <c r="E379" s="204"/>
      <c r="F379" s="204"/>
      <c r="G379" s="200"/>
      <c r="H379" s="135" t="s">
        <v>109</v>
      </c>
      <c r="I379" s="170" t="e">
        <f>SUM(J379:HU379)</f>
        <v>#REF!</v>
      </c>
      <c r="J379" s="171" t="e">
        <f t="shared" ref="J379:AM379" si="155">J327+J340+J353+J366</f>
        <v>#REF!</v>
      </c>
      <c r="K379" s="171" t="e">
        <f t="shared" si="155"/>
        <v>#REF!</v>
      </c>
      <c r="L379" s="171" t="e">
        <f t="shared" si="155"/>
        <v>#REF!</v>
      </c>
      <c r="M379" s="171" t="e">
        <f t="shared" si="155"/>
        <v>#REF!</v>
      </c>
      <c r="N379" s="171" t="e">
        <f t="shared" si="155"/>
        <v>#REF!</v>
      </c>
      <c r="O379" s="171" t="e">
        <f t="shared" si="155"/>
        <v>#REF!</v>
      </c>
      <c r="P379" s="171" t="e">
        <f t="shared" si="155"/>
        <v>#REF!</v>
      </c>
      <c r="Q379" s="171" t="e">
        <f t="shared" si="155"/>
        <v>#REF!</v>
      </c>
      <c r="R379" s="171" t="e">
        <f t="shared" si="155"/>
        <v>#REF!</v>
      </c>
      <c r="S379" s="171" t="e">
        <f t="shared" si="155"/>
        <v>#REF!</v>
      </c>
      <c r="T379" s="171" t="e">
        <f t="shared" si="155"/>
        <v>#REF!</v>
      </c>
      <c r="U379" s="171" t="e">
        <f t="shared" si="155"/>
        <v>#REF!</v>
      </c>
      <c r="V379" s="171" t="e">
        <f t="shared" si="155"/>
        <v>#REF!</v>
      </c>
      <c r="W379" s="171" t="e">
        <f t="shared" si="155"/>
        <v>#REF!</v>
      </c>
      <c r="X379" s="171" t="e">
        <f t="shared" si="155"/>
        <v>#REF!</v>
      </c>
      <c r="Y379" s="171" t="e">
        <f t="shared" si="155"/>
        <v>#REF!</v>
      </c>
      <c r="Z379" s="171" t="e">
        <f t="shared" si="155"/>
        <v>#REF!</v>
      </c>
      <c r="AA379" s="171" t="e">
        <f t="shared" si="155"/>
        <v>#REF!</v>
      </c>
      <c r="AB379" s="171" t="e">
        <f t="shared" si="155"/>
        <v>#REF!</v>
      </c>
      <c r="AC379" s="171" t="e">
        <f t="shared" si="155"/>
        <v>#REF!</v>
      </c>
      <c r="AD379" s="171" t="e">
        <f t="shared" si="155"/>
        <v>#REF!</v>
      </c>
      <c r="AE379" s="171" t="e">
        <f t="shared" si="155"/>
        <v>#REF!</v>
      </c>
      <c r="AF379" s="171" t="e">
        <f t="shared" si="155"/>
        <v>#REF!</v>
      </c>
      <c r="AG379" s="171" t="e">
        <f t="shared" si="155"/>
        <v>#REF!</v>
      </c>
      <c r="AH379" s="171" t="e">
        <f t="shared" si="155"/>
        <v>#REF!</v>
      </c>
      <c r="AI379" s="171" t="e">
        <f t="shared" si="155"/>
        <v>#REF!</v>
      </c>
      <c r="AJ379" s="171" t="e">
        <f t="shared" si="155"/>
        <v>#REF!</v>
      </c>
      <c r="AK379" s="171" t="e">
        <f t="shared" si="155"/>
        <v>#REF!</v>
      </c>
      <c r="AL379" s="171" t="e">
        <f t="shared" si="155"/>
        <v>#REF!</v>
      </c>
      <c r="AM379" s="171" t="e">
        <f t="shared" si="155"/>
        <v>#REF!</v>
      </c>
      <c r="AN379" s="15"/>
      <c r="AO379" s="15"/>
      <c r="AP379" s="15"/>
      <c r="AQ379" s="15"/>
      <c r="AR379" s="15"/>
      <c r="AS379" s="15"/>
      <c r="AT379" s="15"/>
      <c r="AU379" s="15"/>
      <c r="AV379" s="15"/>
    </row>
    <row r="380" s="5" customFormat="1" ht="37.2" hidden="1" customHeight="1" spans="3:48">
      <c r="C380" s="178" t="s">
        <v>51</v>
      </c>
      <c r="D380" s="205"/>
      <c r="E380" s="205"/>
      <c r="F380" s="205"/>
      <c r="G380" s="201"/>
      <c r="H380" s="142" t="s">
        <v>110</v>
      </c>
      <c r="I380" s="177">
        <f t="shared" ref="I380:AM380" si="156">IFERROR(I379/I$383,0)</f>
        <v>0</v>
      </c>
      <c r="J380" s="177">
        <f t="shared" si="156"/>
        <v>0</v>
      </c>
      <c r="K380" s="177">
        <f t="shared" si="156"/>
        <v>0</v>
      </c>
      <c r="L380" s="177">
        <f t="shared" si="156"/>
        <v>0</v>
      </c>
      <c r="M380" s="177">
        <f t="shared" si="156"/>
        <v>0</v>
      </c>
      <c r="N380" s="177">
        <f t="shared" si="156"/>
        <v>0</v>
      </c>
      <c r="O380" s="177">
        <f t="shared" si="156"/>
        <v>0</v>
      </c>
      <c r="P380" s="177">
        <f t="shared" si="156"/>
        <v>0</v>
      </c>
      <c r="Q380" s="177">
        <f t="shared" si="156"/>
        <v>0</v>
      </c>
      <c r="R380" s="177">
        <f t="shared" si="156"/>
        <v>0</v>
      </c>
      <c r="S380" s="177">
        <f t="shared" si="156"/>
        <v>0</v>
      </c>
      <c r="T380" s="177">
        <f t="shared" si="156"/>
        <v>0</v>
      </c>
      <c r="U380" s="177">
        <f t="shared" si="156"/>
        <v>0</v>
      </c>
      <c r="V380" s="177">
        <f t="shared" si="156"/>
        <v>0</v>
      </c>
      <c r="W380" s="177">
        <f t="shared" si="156"/>
        <v>0</v>
      </c>
      <c r="X380" s="177">
        <f t="shared" si="156"/>
        <v>0</v>
      </c>
      <c r="Y380" s="177">
        <f t="shared" si="156"/>
        <v>0</v>
      </c>
      <c r="Z380" s="177">
        <f t="shared" si="156"/>
        <v>0</v>
      </c>
      <c r="AA380" s="177">
        <f t="shared" si="156"/>
        <v>0</v>
      </c>
      <c r="AB380" s="177">
        <f t="shared" si="156"/>
        <v>0</v>
      </c>
      <c r="AC380" s="177">
        <f t="shared" si="156"/>
        <v>0</v>
      </c>
      <c r="AD380" s="177">
        <f t="shared" si="156"/>
        <v>0</v>
      </c>
      <c r="AE380" s="177">
        <f t="shared" si="156"/>
        <v>0</v>
      </c>
      <c r="AF380" s="177">
        <f t="shared" si="156"/>
        <v>0</v>
      </c>
      <c r="AG380" s="177">
        <f t="shared" si="156"/>
        <v>0</v>
      </c>
      <c r="AH380" s="177">
        <f t="shared" si="156"/>
        <v>0</v>
      </c>
      <c r="AI380" s="177">
        <f t="shared" si="156"/>
        <v>0</v>
      </c>
      <c r="AJ380" s="177">
        <f t="shared" si="156"/>
        <v>0</v>
      </c>
      <c r="AK380" s="177">
        <f t="shared" si="156"/>
        <v>0</v>
      </c>
      <c r="AL380" s="177">
        <f t="shared" si="156"/>
        <v>0</v>
      </c>
      <c r="AM380" s="177">
        <f t="shared" si="156"/>
        <v>0</v>
      </c>
    </row>
    <row r="381" s="5" customFormat="1" ht="37.2" hidden="1" customHeight="1" spans="3:48">
      <c r="C381" s="178" t="s">
        <v>51</v>
      </c>
      <c r="D381" s="205"/>
      <c r="E381" s="205"/>
      <c r="F381" s="205"/>
      <c r="G381" s="201"/>
      <c r="H381" s="142" t="s">
        <v>111</v>
      </c>
      <c r="I381" s="176">
        <f t="shared" ref="I381:AM381" si="157">IFERROR(I379/I377,0)</f>
        <v>0</v>
      </c>
      <c r="J381" s="176">
        <f t="shared" si="157"/>
        <v>0</v>
      </c>
      <c r="K381" s="176">
        <f t="shared" si="157"/>
        <v>0</v>
      </c>
      <c r="L381" s="176">
        <f t="shared" si="157"/>
        <v>0</v>
      </c>
      <c r="M381" s="176">
        <f t="shared" si="157"/>
        <v>0</v>
      </c>
      <c r="N381" s="176">
        <f t="shared" si="157"/>
        <v>0</v>
      </c>
      <c r="O381" s="176">
        <f t="shared" si="157"/>
        <v>0</v>
      </c>
      <c r="P381" s="176">
        <f t="shared" si="157"/>
        <v>0</v>
      </c>
      <c r="Q381" s="176">
        <f t="shared" si="157"/>
        <v>0</v>
      </c>
      <c r="R381" s="176">
        <f t="shared" si="157"/>
        <v>0</v>
      </c>
      <c r="S381" s="176">
        <f t="shared" si="157"/>
        <v>0</v>
      </c>
      <c r="T381" s="176">
        <f t="shared" si="157"/>
        <v>0</v>
      </c>
      <c r="U381" s="176">
        <f t="shared" si="157"/>
        <v>0</v>
      </c>
      <c r="V381" s="176">
        <f t="shared" si="157"/>
        <v>0</v>
      </c>
      <c r="W381" s="176">
        <f t="shared" si="157"/>
        <v>0</v>
      </c>
      <c r="X381" s="176">
        <f t="shared" si="157"/>
        <v>0</v>
      </c>
      <c r="Y381" s="176">
        <f t="shared" si="157"/>
        <v>0</v>
      </c>
      <c r="Z381" s="176">
        <f t="shared" si="157"/>
        <v>0</v>
      </c>
      <c r="AA381" s="176">
        <f t="shared" si="157"/>
        <v>0</v>
      </c>
      <c r="AB381" s="176">
        <f t="shared" si="157"/>
        <v>0</v>
      </c>
      <c r="AC381" s="176">
        <f t="shared" si="157"/>
        <v>0</v>
      </c>
      <c r="AD381" s="176">
        <f t="shared" si="157"/>
        <v>0</v>
      </c>
      <c r="AE381" s="176">
        <f t="shared" si="157"/>
        <v>0</v>
      </c>
      <c r="AF381" s="176">
        <f t="shared" si="157"/>
        <v>0</v>
      </c>
      <c r="AG381" s="176">
        <f t="shared" si="157"/>
        <v>0</v>
      </c>
      <c r="AH381" s="176">
        <f t="shared" si="157"/>
        <v>0</v>
      </c>
      <c r="AI381" s="176">
        <f t="shared" si="157"/>
        <v>0</v>
      </c>
      <c r="AJ381" s="176">
        <f t="shared" si="157"/>
        <v>0</v>
      </c>
      <c r="AK381" s="176">
        <f t="shared" si="157"/>
        <v>0</v>
      </c>
      <c r="AL381" s="176">
        <f t="shared" si="157"/>
        <v>0</v>
      </c>
      <c r="AM381" s="176">
        <f t="shared" si="157"/>
        <v>0</v>
      </c>
    </row>
    <row r="382" ht="37.2" hidden="1" customHeight="1" spans="3:48">
      <c r="C382" s="165" t="s">
        <v>51</v>
      </c>
      <c r="D382" s="204"/>
      <c r="E382" s="204"/>
      <c r="F382" s="204"/>
      <c r="G382" s="202" t="s">
        <v>38</v>
      </c>
      <c r="H382" s="135" t="s">
        <v>107</v>
      </c>
      <c r="I382" s="171">
        <f>SUM(J382:HU382)</f>
        <v>162884</v>
      </c>
      <c r="J382" s="171">
        <v>8131</v>
      </c>
      <c r="K382" s="171">
        <v>4887</v>
      </c>
      <c r="L382" s="171">
        <v>6516</v>
      </c>
      <c r="M382" s="171">
        <v>6516</v>
      </c>
      <c r="N382" s="171">
        <v>4887</v>
      </c>
      <c r="O382" s="171">
        <v>6516</v>
      </c>
      <c r="P382" s="171">
        <v>5701</v>
      </c>
      <c r="Q382" s="171">
        <v>4887</v>
      </c>
      <c r="R382" s="171">
        <v>5701</v>
      </c>
      <c r="S382" s="171">
        <v>4887</v>
      </c>
      <c r="T382" s="171">
        <v>4887</v>
      </c>
      <c r="U382" s="171">
        <v>4887</v>
      </c>
      <c r="V382" s="171">
        <v>4887</v>
      </c>
      <c r="W382" s="171">
        <v>6516</v>
      </c>
      <c r="X382" s="171">
        <v>6516</v>
      </c>
      <c r="Y382" s="171">
        <v>8146</v>
      </c>
      <c r="Z382" s="171">
        <v>6516</v>
      </c>
      <c r="AA382" s="171">
        <v>9777</v>
      </c>
      <c r="AB382" s="171">
        <v>4887</v>
      </c>
      <c r="AC382" s="171">
        <v>6516</v>
      </c>
      <c r="AD382" s="171">
        <v>4072</v>
      </c>
      <c r="AE382" s="171">
        <v>4072</v>
      </c>
      <c r="AF382" s="171">
        <v>4072</v>
      </c>
      <c r="AG382" s="171">
        <v>4072</v>
      </c>
      <c r="AH382" s="171">
        <v>4072</v>
      </c>
      <c r="AI382" s="171">
        <v>4072</v>
      </c>
      <c r="AJ382" s="171">
        <v>4072</v>
      </c>
      <c r="AK382" s="182">
        <v>4072</v>
      </c>
      <c r="AL382" s="182">
        <v>4072</v>
      </c>
      <c r="AM382" s="182">
        <v>4072</v>
      </c>
      <c r="AN382" s="15"/>
      <c r="AO382" s="15"/>
      <c r="AP382" s="15"/>
      <c r="AQ382" s="15"/>
      <c r="AR382" s="15"/>
      <c r="AS382" s="15"/>
      <c r="AT382" s="15"/>
      <c r="AU382" s="15"/>
      <c r="AV382" s="15"/>
    </row>
    <row r="383" ht="37.2" hidden="1" customHeight="1" spans="3:48">
      <c r="C383" s="165" t="s">
        <v>51</v>
      </c>
      <c r="D383" s="204"/>
      <c r="E383" s="204"/>
      <c r="F383" s="204"/>
      <c r="G383" s="200"/>
      <c r="H383" s="135" t="s">
        <v>109</v>
      </c>
      <c r="I383" s="170" t="e">
        <f>SUM(J383:HU383)</f>
        <v>#REF!</v>
      </c>
      <c r="J383" s="171" t="e">
        <f t="shared" ref="J383:AM383" si="158">J374+J379</f>
        <v>#REF!</v>
      </c>
      <c r="K383" s="171" t="e">
        <f t="shared" si="158"/>
        <v>#REF!</v>
      </c>
      <c r="L383" s="171" t="e">
        <f t="shared" si="158"/>
        <v>#REF!</v>
      </c>
      <c r="M383" s="171" t="e">
        <f t="shared" si="158"/>
        <v>#REF!</v>
      </c>
      <c r="N383" s="171" t="e">
        <f t="shared" si="158"/>
        <v>#REF!</v>
      </c>
      <c r="O383" s="171" t="e">
        <f t="shared" si="158"/>
        <v>#REF!</v>
      </c>
      <c r="P383" s="171" t="e">
        <f t="shared" si="158"/>
        <v>#REF!</v>
      </c>
      <c r="Q383" s="171" t="e">
        <f t="shared" si="158"/>
        <v>#REF!</v>
      </c>
      <c r="R383" s="171" t="e">
        <f t="shared" si="158"/>
        <v>#REF!</v>
      </c>
      <c r="S383" s="171" t="e">
        <f t="shared" si="158"/>
        <v>#REF!</v>
      </c>
      <c r="T383" s="171" t="e">
        <f t="shared" si="158"/>
        <v>#REF!</v>
      </c>
      <c r="U383" s="171" t="e">
        <f t="shared" si="158"/>
        <v>#REF!</v>
      </c>
      <c r="V383" s="171" t="e">
        <f t="shared" si="158"/>
        <v>#REF!</v>
      </c>
      <c r="W383" s="171" t="e">
        <f t="shared" si="158"/>
        <v>#REF!</v>
      </c>
      <c r="X383" s="171" t="e">
        <f t="shared" si="158"/>
        <v>#REF!</v>
      </c>
      <c r="Y383" s="171" t="e">
        <f t="shared" si="158"/>
        <v>#REF!</v>
      </c>
      <c r="Z383" s="171" t="e">
        <f t="shared" si="158"/>
        <v>#REF!</v>
      </c>
      <c r="AA383" s="171" t="e">
        <f t="shared" si="158"/>
        <v>#REF!</v>
      </c>
      <c r="AB383" s="171" t="e">
        <f t="shared" si="158"/>
        <v>#REF!</v>
      </c>
      <c r="AC383" s="171" t="e">
        <f t="shared" si="158"/>
        <v>#REF!</v>
      </c>
      <c r="AD383" s="171" t="e">
        <f t="shared" si="158"/>
        <v>#REF!</v>
      </c>
      <c r="AE383" s="171" t="e">
        <f t="shared" si="158"/>
        <v>#REF!</v>
      </c>
      <c r="AF383" s="171" t="e">
        <f t="shared" si="158"/>
        <v>#REF!</v>
      </c>
      <c r="AG383" s="171" t="e">
        <f t="shared" si="158"/>
        <v>#REF!</v>
      </c>
      <c r="AH383" s="171" t="e">
        <f t="shared" si="158"/>
        <v>#REF!</v>
      </c>
      <c r="AI383" s="171" t="e">
        <f t="shared" si="158"/>
        <v>#REF!</v>
      </c>
      <c r="AJ383" s="171" t="e">
        <f t="shared" si="158"/>
        <v>#REF!</v>
      </c>
      <c r="AK383" s="171" t="e">
        <f t="shared" si="158"/>
        <v>#REF!</v>
      </c>
      <c r="AL383" s="171" t="e">
        <f t="shared" si="158"/>
        <v>#REF!</v>
      </c>
      <c r="AM383" s="171" t="e">
        <f t="shared" si="158"/>
        <v>#REF!</v>
      </c>
      <c r="AN383" s="15"/>
      <c r="AO383" s="15"/>
      <c r="AP383" s="15"/>
      <c r="AQ383" s="15"/>
      <c r="AR383" s="15"/>
      <c r="AS383" s="15"/>
      <c r="AT383" s="15"/>
      <c r="AU383" s="15"/>
      <c r="AV383" s="15"/>
    </row>
    <row r="384" s="5" customFormat="1" ht="37.2" hidden="1" customHeight="1" spans="3:48">
      <c r="C384" s="178" t="s">
        <v>51</v>
      </c>
      <c r="D384" s="205"/>
      <c r="E384" s="205"/>
      <c r="F384" s="205"/>
      <c r="G384" s="201"/>
      <c r="H384" s="142" t="s">
        <v>111</v>
      </c>
      <c r="I384" s="176">
        <f t="shared" ref="I384:AM384" si="159">IFERROR(I383/I382,0)</f>
        <v>0</v>
      </c>
      <c r="J384" s="176">
        <f t="shared" si="159"/>
        <v>0</v>
      </c>
      <c r="K384" s="176">
        <f t="shared" si="159"/>
        <v>0</v>
      </c>
      <c r="L384" s="176">
        <f t="shared" si="159"/>
        <v>0</v>
      </c>
      <c r="M384" s="176">
        <f t="shared" si="159"/>
        <v>0</v>
      </c>
      <c r="N384" s="176">
        <f t="shared" si="159"/>
        <v>0</v>
      </c>
      <c r="O384" s="176">
        <f t="shared" si="159"/>
        <v>0</v>
      </c>
      <c r="P384" s="176">
        <f t="shared" si="159"/>
        <v>0</v>
      </c>
      <c r="Q384" s="176">
        <f t="shared" si="159"/>
        <v>0</v>
      </c>
      <c r="R384" s="176">
        <f t="shared" si="159"/>
        <v>0</v>
      </c>
      <c r="S384" s="176">
        <f t="shared" si="159"/>
        <v>0</v>
      </c>
      <c r="T384" s="176">
        <f t="shared" si="159"/>
        <v>0</v>
      </c>
      <c r="U384" s="176">
        <f t="shared" si="159"/>
        <v>0</v>
      </c>
      <c r="V384" s="176">
        <f t="shared" si="159"/>
        <v>0</v>
      </c>
      <c r="W384" s="176">
        <f t="shared" si="159"/>
        <v>0</v>
      </c>
      <c r="X384" s="176">
        <f t="shared" si="159"/>
        <v>0</v>
      </c>
      <c r="Y384" s="176">
        <f t="shared" si="159"/>
        <v>0</v>
      </c>
      <c r="Z384" s="176">
        <f t="shared" si="159"/>
        <v>0</v>
      </c>
      <c r="AA384" s="176">
        <f t="shared" si="159"/>
        <v>0</v>
      </c>
      <c r="AB384" s="176">
        <f t="shared" si="159"/>
        <v>0</v>
      </c>
      <c r="AC384" s="176">
        <f t="shared" si="159"/>
        <v>0</v>
      </c>
      <c r="AD384" s="176">
        <f t="shared" si="159"/>
        <v>0</v>
      </c>
      <c r="AE384" s="176">
        <f t="shared" si="159"/>
        <v>0</v>
      </c>
      <c r="AF384" s="176">
        <f t="shared" si="159"/>
        <v>0</v>
      </c>
      <c r="AG384" s="176">
        <f t="shared" si="159"/>
        <v>0</v>
      </c>
      <c r="AH384" s="176">
        <f t="shared" si="159"/>
        <v>0</v>
      </c>
      <c r="AI384" s="176">
        <f t="shared" si="159"/>
        <v>0</v>
      </c>
      <c r="AJ384" s="176">
        <f t="shared" si="159"/>
        <v>0</v>
      </c>
      <c r="AK384" s="176">
        <f t="shared" si="159"/>
        <v>0</v>
      </c>
      <c r="AL384" s="176">
        <f t="shared" si="159"/>
        <v>0</v>
      </c>
      <c r="AM384" s="176">
        <f t="shared" si="159"/>
        <v>0</v>
      </c>
    </row>
    <row r="385" s="10" customFormat="1" ht="37.2" hidden="1" customHeight="1" spans="3:48">
      <c r="C385" s="206" t="s">
        <v>36</v>
      </c>
      <c r="D385" s="207" t="s">
        <v>102</v>
      </c>
      <c r="E385" s="208" t="s">
        <v>103</v>
      </c>
      <c r="F385" s="209" t="s">
        <v>104</v>
      </c>
      <c r="G385" s="210" t="s">
        <v>105</v>
      </c>
      <c r="H385" s="206" t="s">
        <v>37</v>
      </c>
      <c r="I385" s="211" t="s">
        <v>38</v>
      </c>
      <c r="J385" s="212">
        <v>46174</v>
      </c>
      <c r="K385" s="212">
        <v>46175</v>
      </c>
      <c r="L385" s="212">
        <v>46176</v>
      </c>
      <c r="M385" s="212">
        <v>46177</v>
      </c>
      <c r="N385" s="212">
        <v>46178</v>
      </c>
      <c r="O385" s="212">
        <v>46179</v>
      </c>
      <c r="P385" s="212">
        <v>46180</v>
      </c>
      <c r="Q385" s="212">
        <v>46181</v>
      </c>
      <c r="R385" s="212">
        <v>46182</v>
      </c>
      <c r="S385" s="212">
        <v>46183</v>
      </c>
      <c r="T385" s="212">
        <v>46184</v>
      </c>
      <c r="U385" s="212">
        <v>46185</v>
      </c>
      <c r="V385" s="212">
        <v>46186</v>
      </c>
      <c r="W385" s="212">
        <v>46187</v>
      </c>
      <c r="X385" s="212">
        <v>46188</v>
      </c>
      <c r="Y385" s="212">
        <v>46189</v>
      </c>
      <c r="Z385" s="212">
        <v>46190</v>
      </c>
      <c r="AA385" s="212">
        <v>46191</v>
      </c>
      <c r="AB385" s="212">
        <v>46192</v>
      </c>
      <c r="AC385" s="212">
        <v>46193</v>
      </c>
      <c r="AD385" s="212">
        <v>46194</v>
      </c>
      <c r="AE385" s="212">
        <v>46195</v>
      </c>
      <c r="AF385" s="212">
        <v>46196</v>
      </c>
      <c r="AG385" s="212">
        <v>46197</v>
      </c>
      <c r="AH385" s="212">
        <v>46198</v>
      </c>
      <c r="AI385" s="212">
        <v>46199</v>
      </c>
      <c r="AJ385" s="212">
        <v>46200</v>
      </c>
      <c r="AK385" s="213">
        <v>46201</v>
      </c>
      <c r="AL385" s="213">
        <v>46202</v>
      </c>
      <c r="AM385" s="213">
        <v>46203</v>
      </c>
    </row>
    <row r="386" ht="37.2" hidden="1" customHeight="1" spans="3:48">
      <c r="C386" s="214" t="s">
        <v>52</v>
      </c>
      <c r="D386" s="215" t="s">
        <v>89</v>
      </c>
      <c r="E386" s="215">
        <v>0.4</v>
      </c>
      <c r="F386" s="215" t="e">
        <f>I402/$I$477</f>
        <v>#REF!</v>
      </c>
      <c r="G386" s="216" t="s">
        <v>106</v>
      </c>
      <c r="H386" s="217" t="s">
        <v>107</v>
      </c>
      <c r="I386" s="182">
        <f>SUM(J386:HU386)</f>
        <v>23396</v>
      </c>
      <c r="J386" s="182">
        <v>1400</v>
      </c>
      <c r="K386" s="182">
        <v>702</v>
      </c>
      <c r="L386" s="182">
        <v>1170</v>
      </c>
      <c r="M386" s="182">
        <v>702</v>
      </c>
      <c r="N386" s="182">
        <v>468</v>
      </c>
      <c r="O386" s="182">
        <v>468</v>
      </c>
      <c r="P386" s="182">
        <v>468</v>
      </c>
      <c r="Q386" s="182">
        <v>468</v>
      </c>
      <c r="R386" s="182">
        <v>468</v>
      </c>
      <c r="S386" s="182">
        <v>468</v>
      </c>
      <c r="T386" s="182">
        <v>468</v>
      </c>
      <c r="U386" s="182">
        <v>234</v>
      </c>
      <c r="V386" s="182">
        <v>702</v>
      </c>
      <c r="W386" s="182">
        <v>1170</v>
      </c>
      <c r="X386" s="182">
        <v>1638</v>
      </c>
      <c r="Y386" s="182">
        <v>1872</v>
      </c>
      <c r="Z386" s="182">
        <v>1872</v>
      </c>
      <c r="AA386" s="182">
        <v>2340</v>
      </c>
      <c r="AB386" s="182">
        <v>702</v>
      </c>
      <c r="AC386" s="182">
        <v>936</v>
      </c>
      <c r="AD386" s="182">
        <v>468</v>
      </c>
      <c r="AE386" s="182">
        <v>468</v>
      </c>
      <c r="AF386" s="182">
        <v>468</v>
      </c>
      <c r="AG386" s="182">
        <v>468</v>
      </c>
      <c r="AH386" s="182">
        <v>468</v>
      </c>
      <c r="AI386" s="182">
        <v>468</v>
      </c>
      <c r="AJ386" s="182">
        <v>468</v>
      </c>
      <c r="AK386" s="182">
        <v>468</v>
      </c>
      <c r="AL386" s="182">
        <v>468</v>
      </c>
      <c r="AM386" s="182">
        <v>468</v>
      </c>
      <c r="AN386" s="15"/>
      <c r="AO386" s="15"/>
      <c r="AP386" s="15"/>
      <c r="AQ386" s="15"/>
      <c r="AR386" s="15"/>
      <c r="AS386" s="15"/>
      <c r="AT386" s="15"/>
      <c r="AU386" s="15"/>
      <c r="AV386" s="15"/>
    </row>
    <row r="387" ht="37.2" hidden="1" customHeight="1" spans="3:48">
      <c r="C387" s="214" t="s">
        <v>52</v>
      </c>
      <c r="D387" s="218"/>
      <c r="E387" s="218"/>
      <c r="F387" s="219"/>
      <c r="G387" s="220"/>
      <c r="H387" s="221" t="s">
        <v>108</v>
      </c>
      <c r="I387" s="177">
        <v>0.5</v>
      </c>
      <c r="J387" s="177">
        <v>0.5</v>
      </c>
      <c r="K387" s="177">
        <v>0.5</v>
      </c>
      <c r="L387" s="177">
        <v>0.5</v>
      </c>
      <c r="M387" s="177">
        <v>0.5</v>
      </c>
      <c r="N387" s="177">
        <v>0.5</v>
      </c>
      <c r="O387" s="177">
        <v>0.5</v>
      </c>
      <c r="P387" s="177">
        <v>0.5</v>
      </c>
      <c r="Q387" s="177">
        <v>0.5</v>
      </c>
      <c r="R387" s="177">
        <v>0.5</v>
      </c>
      <c r="S387" s="177">
        <v>0.5</v>
      </c>
      <c r="T387" s="177">
        <v>0.5</v>
      </c>
      <c r="U387" s="177">
        <v>0.5</v>
      </c>
      <c r="V387" s="177">
        <v>0.5</v>
      </c>
      <c r="W387" s="177">
        <v>0.5</v>
      </c>
      <c r="X387" s="177">
        <v>0.5</v>
      </c>
      <c r="Y387" s="177">
        <v>0.5</v>
      </c>
      <c r="Z387" s="177">
        <v>0.5</v>
      </c>
      <c r="AA387" s="177">
        <v>0.5</v>
      </c>
      <c r="AB387" s="177">
        <v>0.5</v>
      </c>
      <c r="AC387" s="177">
        <v>0.5</v>
      </c>
      <c r="AD387" s="177">
        <v>0.5</v>
      </c>
      <c r="AE387" s="177">
        <v>0.5</v>
      </c>
      <c r="AF387" s="177">
        <v>0.5</v>
      </c>
      <c r="AG387" s="177">
        <v>0.5</v>
      </c>
      <c r="AH387" s="177">
        <v>0.5</v>
      </c>
      <c r="AI387" s="177">
        <v>0.5</v>
      </c>
      <c r="AJ387" s="177">
        <v>0.5</v>
      </c>
      <c r="AK387" s="177">
        <v>0.5</v>
      </c>
      <c r="AL387" s="177">
        <v>0.5</v>
      </c>
      <c r="AM387" s="177">
        <v>0.5</v>
      </c>
      <c r="AN387" s="15"/>
      <c r="AO387" s="15"/>
      <c r="AP387" s="15"/>
      <c r="AQ387" s="15"/>
      <c r="AR387" s="15"/>
      <c r="AS387" s="15"/>
      <c r="AT387" s="15"/>
      <c r="AU387" s="15"/>
      <c r="AV387" s="15"/>
    </row>
    <row r="388" s="11" customFormat="1" ht="37.2" hidden="1" customHeight="1" spans="3:48">
      <c r="C388" s="222" t="s">
        <v>52</v>
      </c>
      <c r="D388" s="223"/>
      <c r="E388" s="223"/>
      <c r="F388" s="224"/>
      <c r="G388" s="225"/>
      <c r="H388" s="226" t="s">
        <v>109</v>
      </c>
      <c r="I388" s="227" t="e">
        <f>SUM(J388:HU388)</f>
        <v>#REF!</v>
      </c>
      <c r="J388" s="227" t="e">
        <f>SUMIFS(#REF!,#REF!,$C386&amp;J$319&amp;$D$386&amp;$G$386)</f>
        <v>#REF!</v>
      </c>
      <c r="K388" s="227" t="e">
        <f>SUMIFS(#REF!,#REF!,$C386&amp;K$319&amp;$D$386&amp;$G$386)</f>
        <v>#REF!</v>
      </c>
      <c r="L388" s="227" t="e">
        <f>SUMIFS(#REF!,#REF!,$C386&amp;L$319&amp;$D$386&amp;$G$386)</f>
        <v>#REF!</v>
      </c>
      <c r="M388" s="227" t="e">
        <f>SUMIFS(#REF!,#REF!,$C386&amp;M$319&amp;$D$386&amp;$G$386)</f>
        <v>#REF!</v>
      </c>
      <c r="N388" s="227" t="e">
        <f>SUMIFS(#REF!,#REF!,$C386&amp;N$319&amp;$D$386&amp;$G$386)</f>
        <v>#REF!</v>
      </c>
      <c r="O388" s="227" t="e">
        <f>SUMIFS(#REF!,#REF!,$C386&amp;O$319&amp;$D$386&amp;$G$386)</f>
        <v>#REF!</v>
      </c>
      <c r="P388" s="227" t="e">
        <f>SUMIFS(#REF!,#REF!,$C386&amp;P$319&amp;$D$386&amp;$G$386)</f>
        <v>#REF!</v>
      </c>
      <c r="Q388" s="227" t="e">
        <f>SUMIFS(#REF!,#REF!,$C386&amp;Q$319&amp;$D$386&amp;$G$386)</f>
        <v>#REF!</v>
      </c>
      <c r="R388" s="227" t="e">
        <f>SUMIFS(#REF!,#REF!,$C386&amp;R$319&amp;$D$386&amp;$G$386)</f>
        <v>#REF!</v>
      </c>
      <c r="S388" s="227" t="e">
        <f>SUMIFS(#REF!,#REF!,$C386&amp;S$319&amp;$D$386&amp;$G$386)</f>
        <v>#REF!</v>
      </c>
      <c r="T388" s="227" t="e">
        <f>SUMIFS(#REF!,#REF!,$C386&amp;T$319&amp;$D$386&amp;$G$386)</f>
        <v>#REF!</v>
      </c>
      <c r="U388" s="227" t="e">
        <f>SUMIFS(#REF!,#REF!,$C386&amp;U$319&amp;$D$386&amp;$G$386)</f>
        <v>#REF!</v>
      </c>
      <c r="V388" s="227" t="e">
        <f>SUMIFS(#REF!,#REF!,$C386&amp;V$319&amp;$D$386&amp;$G$386)</f>
        <v>#REF!</v>
      </c>
      <c r="W388" s="227" t="e">
        <f>SUMIFS(#REF!,#REF!,$C386&amp;W$319&amp;$D$386&amp;$G$386)</f>
        <v>#REF!</v>
      </c>
      <c r="X388" s="227" t="e">
        <f>SUMIFS(#REF!,#REF!,$C386&amp;X$319&amp;$D$386&amp;$G$386)</f>
        <v>#REF!</v>
      </c>
      <c r="Y388" s="227" t="e">
        <f>SUMIFS(#REF!,#REF!,$C386&amp;Y$319&amp;$D$386&amp;$G$386)</f>
        <v>#REF!</v>
      </c>
      <c r="Z388" s="227" t="e">
        <f>SUMIFS(#REF!,#REF!,$C386&amp;Z$319&amp;$D$386&amp;$G$386)</f>
        <v>#REF!</v>
      </c>
      <c r="AA388" s="227" t="e">
        <f>SUMIFS(#REF!,#REF!,$C386&amp;AA$319&amp;$D$386&amp;$G$386)</f>
        <v>#REF!</v>
      </c>
      <c r="AB388" s="227" t="e">
        <f>SUMIFS(#REF!,#REF!,$C386&amp;AB$319&amp;$D$386&amp;$G$386)</f>
        <v>#REF!</v>
      </c>
      <c r="AC388" s="227" t="e">
        <f>SUMIFS(#REF!,#REF!,$C386&amp;AC$319&amp;$D$386&amp;$G$386)</f>
        <v>#REF!</v>
      </c>
      <c r="AD388" s="227" t="e">
        <f>SUMIFS(#REF!,#REF!,$C386&amp;AD$319&amp;$D$386&amp;$G$386)</f>
        <v>#REF!</v>
      </c>
      <c r="AE388" s="227" t="e">
        <f>SUMIFS(#REF!,#REF!,$C386&amp;AE$319&amp;$D$386&amp;$G$386)</f>
        <v>#REF!</v>
      </c>
      <c r="AF388" s="227" t="e">
        <f>SUMIFS(#REF!,#REF!,$C386&amp;AF$319&amp;$D$386&amp;$G$386)</f>
        <v>#REF!</v>
      </c>
      <c r="AG388" s="227" t="e">
        <f>SUMIFS(#REF!,#REF!,$C386&amp;AG$319&amp;$D$386&amp;$G$386)</f>
        <v>#REF!</v>
      </c>
      <c r="AH388" s="227" t="e">
        <f>SUMIFS(#REF!,#REF!,$C386&amp;AH$319&amp;$D$386&amp;$G$386)</f>
        <v>#REF!</v>
      </c>
      <c r="AI388" s="227" t="e">
        <f>SUMIFS(#REF!,#REF!,$C386&amp;AI$319&amp;$D$386&amp;$G$386)</f>
        <v>#REF!</v>
      </c>
      <c r="AJ388" s="227" t="e">
        <f>SUMIFS(#REF!,#REF!,$C386&amp;AJ$319&amp;$D$386&amp;$G$386)</f>
        <v>#REF!</v>
      </c>
      <c r="AK388" s="227" t="e">
        <f>SUMIFS(#REF!,#REF!,$C386&amp;AK$319&amp;$D$386&amp;$G$386)</f>
        <v>#REF!</v>
      </c>
      <c r="AL388" s="227" t="e">
        <f>SUMIFS(#REF!,#REF!,$C386&amp;AL$319&amp;$D$386&amp;$G$386)</f>
        <v>#REF!</v>
      </c>
      <c r="AM388" s="227" t="e">
        <f>SUMIFS(#REF!,#REF!,$C386&amp;AM$319&amp;$D$386&amp;$G$386)</f>
        <v>#REF!</v>
      </c>
    </row>
    <row r="389" s="5" customFormat="1" ht="37.2" hidden="1" customHeight="1" spans="3:48">
      <c r="C389" s="228" t="s">
        <v>52</v>
      </c>
      <c r="D389" s="229"/>
      <c r="E389" s="229"/>
      <c r="F389" s="230"/>
      <c r="G389" s="231"/>
      <c r="H389" s="232" t="s">
        <v>110</v>
      </c>
      <c r="I389" s="177">
        <f t="shared" ref="I389:AM389" si="160">IFERROR(I388/I402,0)</f>
        <v>0</v>
      </c>
      <c r="J389" s="177">
        <f t="shared" si="160"/>
        <v>0</v>
      </c>
      <c r="K389" s="177">
        <f t="shared" si="160"/>
        <v>0</v>
      </c>
      <c r="L389" s="177">
        <f t="shared" si="160"/>
        <v>0</v>
      </c>
      <c r="M389" s="177">
        <f t="shared" si="160"/>
        <v>0</v>
      </c>
      <c r="N389" s="177">
        <f t="shared" si="160"/>
        <v>0</v>
      </c>
      <c r="O389" s="177">
        <f t="shared" si="160"/>
        <v>0</v>
      </c>
      <c r="P389" s="177">
        <f t="shared" si="160"/>
        <v>0</v>
      </c>
      <c r="Q389" s="177">
        <f t="shared" si="160"/>
        <v>0</v>
      </c>
      <c r="R389" s="177">
        <f t="shared" si="160"/>
        <v>0</v>
      </c>
      <c r="S389" s="177">
        <f t="shared" si="160"/>
        <v>0</v>
      </c>
      <c r="T389" s="177">
        <f t="shared" si="160"/>
        <v>0</v>
      </c>
      <c r="U389" s="177">
        <f t="shared" si="160"/>
        <v>0</v>
      </c>
      <c r="V389" s="177">
        <f t="shared" si="160"/>
        <v>0</v>
      </c>
      <c r="W389" s="177">
        <f t="shared" si="160"/>
        <v>0</v>
      </c>
      <c r="X389" s="177">
        <f t="shared" si="160"/>
        <v>0</v>
      </c>
      <c r="Y389" s="177">
        <f t="shared" si="160"/>
        <v>0</v>
      </c>
      <c r="Z389" s="177">
        <f t="shared" si="160"/>
        <v>0</v>
      </c>
      <c r="AA389" s="177">
        <f t="shared" si="160"/>
        <v>0</v>
      </c>
      <c r="AB389" s="177">
        <f t="shared" si="160"/>
        <v>0</v>
      </c>
      <c r="AC389" s="177">
        <f t="shared" si="160"/>
        <v>0</v>
      </c>
      <c r="AD389" s="177">
        <f t="shared" si="160"/>
        <v>0</v>
      </c>
      <c r="AE389" s="177">
        <f t="shared" si="160"/>
        <v>0</v>
      </c>
      <c r="AF389" s="177">
        <f t="shared" si="160"/>
        <v>0</v>
      </c>
      <c r="AG389" s="177">
        <f t="shared" si="160"/>
        <v>0</v>
      </c>
      <c r="AH389" s="177">
        <f t="shared" si="160"/>
        <v>0</v>
      </c>
      <c r="AI389" s="177">
        <f t="shared" si="160"/>
        <v>0</v>
      </c>
      <c r="AJ389" s="177">
        <f t="shared" si="160"/>
        <v>0</v>
      </c>
      <c r="AK389" s="177">
        <f t="shared" si="160"/>
        <v>0</v>
      </c>
      <c r="AL389" s="177">
        <f t="shared" si="160"/>
        <v>0</v>
      </c>
      <c r="AM389" s="177">
        <f t="shared" si="160"/>
        <v>0</v>
      </c>
    </row>
    <row r="390" s="5" customFormat="1" ht="37.2" hidden="1" customHeight="1" spans="3:48">
      <c r="C390" s="228" t="s">
        <v>52</v>
      </c>
      <c r="D390" s="229"/>
      <c r="E390" s="229"/>
      <c r="F390" s="230"/>
      <c r="G390" s="233"/>
      <c r="H390" s="232" t="s">
        <v>111</v>
      </c>
      <c r="I390" s="176">
        <f t="shared" ref="I390:AM390" si="161">IFERROR(I388/I386,0)</f>
        <v>0</v>
      </c>
      <c r="J390" s="176">
        <f t="shared" si="161"/>
        <v>0</v>
      </c>
      <c r="K390" s="176">
        <f t="shared" si="161"/>
        <v>0</v>
      </c>
      <c r="L390" s="176">
        <f t="shared" si="161"/>
        <v>0</v>
      </c>
      <c r="M390" s="176">
        <f t="shared" si="161"/>
        <v>0</v>
      </c>
      <c r="N390" s="176">
        <f t="shared" si="161"/>
        <v>0</v>
      </c>
      <c r="O390" s="176">
        <f t="shared" si="161"/>
        <v>0</v>
      </c>
      <c r="P390" s="176">
        <f t="shared" si="161"/>
        <v>0</v>
      </c>
      <c r="Q390" s="176">
        <f t="shared" si="161"/>
        <v>0</v>
      </c>
      <c r="R390" s="176">
        <f t="shared" si="161"/>
        <v>0</v>
      </c>
      <c r="S390" s="176">
        <f t="shared" si="161"/>
        <v>0</v>
      </c>
      <c r="T390" s="176">
        <f t="shared" si="161"/>
        <v>0</v>
      </c>
      <c r="U390" s="176">
        <f t="shared" si="161"/>
        <v>0</v>
      </c>
      <c r="V390" s="176">
        <f t="shared" si="161"/>
        <v>0</v>
      </c>
      <c r="W390" s="176">
        <f t="shared" si="161"/>
        <v>0</v>
      </c>
      <c r="X390" s="176">
        <f t="shared" si="161"/>
        <v>0</v>
      </c>
      <c r="Y390" s="176">
        <f t="shared" si="161"/>
        <v>0</v>
      </c>
      <c r="Z390" s="176">
        <f t="shared" si="161"/>
        <v>0</v>
      </c>
      <c r="AA390" s="176">
        <f t="shared" si="161"/>
        <v>0</v>
      </c>
      <c r="AB390" s="176">
        <f t="shared" si="161"/>
        <v>0</v>
      </c>
      <c r="AC390" s="176">
        <f t="shared" si="161"/>
        <v>0</v>
      </c>
      <c r="AD390" s="176">
        <f t="shared" si="161"/>
        <v>0</v>
      </c>
      <c r="AE390" s="176">
        <f t="shared" si="161"/>
        <v>0</v>
      </c>
      <c r="AF390" s="176">
        <f t="shared" si="161"/>
        <v>0</v>
      </c>
      <c r="AG390" s="176">
        <f t="shared" si="161"/>
        <v>0</v>
      </c>
      <c r="AH390" s="176">
        <f t="shared" si="161"/>
        <v>0</v>
      </c>
      <c r="AI390" s="176">
        <f t="shared" si="161"/>
        <v>0</v>
      </c>
      <c r="AJ390" s="176">
        <f t="shared" si="161"/>
        <v>0</v>
      </c>
      <c r="AK390" s="176">
        <f t="shared" si="161"/>
        <v>0</v>
      </c>
      <c r="AL390" s="176">
        <f t="shared" si="161"/>
        <v>0</v>
      </c>
      <c r="AM390" s="176">
        <f t="shared" si="161"/>
        <v>0</v>
      </c>
    </row>
    <row r="391" ht="37.2" hidden="1" customHeight="1" spans="3:48">
      <c r="C391" s="214" t="s">
        <v>52</v>
      </c>
      <c r="D391" s="218"/>
      <c r="E391" s="218"/>
      <c r="F391" s="218"/>
      <c r="G391" s="216" t="s">
        <v>112</v>
      </c>
      <c r="H391" s="217" t="s">
        <v>107</v>
      </c>
      <c r="I391" s="182">
        <f>SUM(J391:HU391)</f>
        <v>14042</v>
      </c>
      <c r="J391" s="182">
        <v>842</v>
      </c>
      <c r="K391" s="182">
        <v>421</v>
      </c>
      <c r="L391" s="182">
        <v>702</v>
      </c>
      <c r="M391" s="182">
        <v>421</v>
      </c>
      <c r="N391" s="182">
        <v>281</v>
      </c>
      <c r="O391" s="182">
        <v>281</v>
      </c>
      <c r="P391" s="182">
        <v>281</v>
      </c>
      <c r="Q391" s="182">
        <v>281</v>
      </c>
      <c r="R391" s="182">
        <v>281</v>
      </c>
      <c r="S391" s="182">
        <v>281</v>
      </c>
      <c r="T391" s="182">
        <v>281</v>
      </c>
      <c r="U391" s="182">
        <v>140</v>
      </c>
      <c r="V391" s="182">
        <v>421</v>
      </c>
      <c r="W391" s="182">
        <v>702</v>
      </c>
      <c r="X391" s="182">
        <v>983</v>
      </c>
      <c r="Y391" s="182">
        <v>1123</v>
      </c>
      <c r="Z391" s="182">
        <v>1123</v>
      </c>
      <c r="AA391" s="182">
        <v>1404</v>
      </c>
      <c r="AB391" s="182">
        <v>421</v>
      </c>
      <c r="AC391" s="182">
        <v>562</v>
      </c>
      <c r="AD391" s="182">
        <v>281</v>
      </c>
      <c r="AE391" s="182">
        <v>281</v>
      </c>
      <c r="AF391" s="182">
        <v>281</v>
      </c>
      <c r="AG391" s="182">
        <v>281</v>
      </c>
      <c r="AH391" s="182">
        <v>281</v>
      </c>
      <c r="AI391" s="182">
        <v>281</v>
      </c>
      <c r="AJ391" s="182">
        <v>281</v>
      </c>
      <c r="AK391" s="182">
        <v>281</v>
      </c>
      <c r="AL391" s="182">
        <v>281</v>
      </c>
      <c r="AM391" s="182">
        <v>281</v>
      </c>
      <c r="AN391" s="15"/>
      <c r="AO391" s="15"/>
      <c r="AP391" s="15"/>
      <c r="AQ391" s="15"/>
      <c r="AR391" s="15"/>
      <c r="AS391" s="15"/>
      <c r="AT391" s="15"/>
      <c r="AU391" s="15"/>
      <c r="AV391" s="15"/>
    </row>
    <row r="392" ht="37.2" hidden="1" customHeight="1" spans="3:48">
      <c r="C392" s="214" t="s">
        <v>52</v>
      </c>
      <c r="D392" s="218"/>
      <c r="E392" s="218"/>
      <c r="F392" s="219"/>
      <c r="G392" s="220"/>
      <c r="H392" s="221" t="s">
        <v>108</v>
      </c>
      <c r="I392" s="177">
        <v>0.3</v>
      </c>
      <c r="J392" s="177">
        <v>0.3</v>
      </c>
      <c r="K392" s="177">
        <v>0.3</v>
      </c>
      <c r="L392" s="177">
        <v>0.3</v>
      </c>
      <c r="M392" s="177">
        <v>0.3</v>
      </c>
      <c r="N392" s="177">
        <v>0.3</v>
      </c>
      <c r="O392" s="177">
        <v>0.3</v>
      </c>
      <c r="P392" s="177">
        <v>0.3</v>
      </c>
      <c r="Q392" s="177">
        <v>0.3</v>
      </c>
      <c r="R392" s="177">
        <v>0.3</v>
      </c>
      <c r="S392" s="177">
        <v>0.3</v>
      </c>
      <c r="T392" s="177">
        <v>0.3</v>
      </c>
      <c r="U392" s="177">
        <v>0.3</v>
      </c>
      <c r="V392" s="177">
        <v>0.3</v>
      </c>
      <c r="W392" s="177">
        <v>0.3</v>
      </c>
      <c r="X392" s="177">
        <v>0.3</v>
      </c>
      <c r="Y392" s="177">
        <v>0.3</v>
      </c>
      <c r="Z392" s="177">
        <v>0.3</v>
      </c>
      <c r="AA392" s="177">
        <v>0.3</v>
      </c>
      <c r="AB392" s="177">
        <v>0.3</v>
      </c>
      <c r="AC392" s="177">
        <v>0.3</v>
      </c>
      <c r="AD392" s="177">
        <v>0.3</v>
      </c>
      <c r="AE392" s="177">
        <v>0.3</v>
      </c>
      <c r="AF392" s="177">
        <v>0.3</v>
      </c>
      <c r="AG392" s="177">
        <v>0.3</v>
      </c>
      <c r="AH392" s="177">
        <v>0.3</v>
      </c>
      <c r="AI392" s="177">
        <v>0.3</v>
      </c>
      <c r="AJ392" s="177">
        <v>0.3</v>
      </c>
      <c r="AK392" s="177">
        <v>0.3</v>
      </c>
      <c r="AL392" s="177">
        <v>0.3</v>
      </c>
      <c r="AM392" s="177">
        <v>0.3</v>
      </c>
      <c r="AN392" s="15"/>
      <c r="AO392" s="15"/>
      <c r="AP392" s="15"/>
      <c r="AQ392" s="15"/>
      <c r="AR392" s="15"/>
      <c r="AS392" s="15"/>
      <c r="AT392" s="15"/>
      <c r="AU392" s="15"/>
      <c r="AV392" s="15"/>
    </row>
    <row r="393" s="11" customFormat="1" ht="37.2" hidden="1" customHeight="1" spans="3:48">
      <c r="C393" s="222" t="s">
        <v>52</v>
      </c>
      <c r="D393" s="223"/>
      <c r="E393" s="223"/>
      <c r="F393" s="224"/>
      <c r="G393" s="225"/>
      <c r="H393" s="226" t="s">
        <v>109</v>
      </c>
      <c r="I393" s="227" t="e">
        <f>SUM(J393:HU393)</f>
        <v>#REF!</v>
      </c>
      <c r="J393" s="227" t="e">
        <f>SUMIFS(#REF!,#REF!,$C391&amp;J$319&amp;$D$386&amp;$G$391)</f>
        <v>#REF!</v>
      </c>
      <c r="K393" s="227" t="e">
        <f>SUMIFS(#REF!,#REF!,$C391&amp;K$319&amp;$D$386&amp;$G$391)</f>
        <v>#REF!</v>
      </c>
      <c r="L393" s="227" t="e">
        <f>SUMIFS(#REF!,#REF!,$C391&amp;L$319&amp;$D$386&amp;$G$391)</f>
        <v>#REF!</v>
      </c>
      <c r="M393" s="227" t="e">
        <f>SUMIFS(#REF!,#REF!,$C391&amp;M$319&amp;$D$386&amp;$G$391)</f>
        <v>#REF!</v>
      </c>
      <c r="N393" s="227" t="e">
        <f>SUMIFS(#REF!,#REF!,$C391&amp;N$319&amp;$D$386&amp;$G$391)</f>
        <v>#REF!</v>
      </c>
      <c r="O393" s="227" t="e">
        <f>SUMIFS(#REF!,#REF!,$C391&amp;O$319&amp;$D$386&amp;$G$391)</f>
        <v>#REF!</v>
      </c>
      <c r="P393" s="227" t="e">
        <f>SUMIFS(#REF!,#REF!,$C391&amp;P$319&amp;$D$386&amp;$G$391)</f>
        <v>#REF!</v>
      </c>
      <c r="Q393" s="227" t="e">
        <f>SUMIFS(#REF!,#REF!,$C391&amp;Q$319&amp;$D$386&amp;$G$391)</f>
        <v>#REF!</v>
      </c>
      <c r="R393" s="227" t="e">
        <f>SUMIFS(#REF!,#REF!,$C391&amp;R$319&amp;$D$386&amp;$G$391)</f>
        <v>#REF!</v>
      </c>
      <c r="S393" s="227" t="e">
        <f>SUMIFS(#REF!,#REF!,$C391&amp;S$319&amp;$D$386&amp;$G$391)</f>
        <v>#REF!</v>
      </c>
      <c r="T393" s="227" t="e">
        <f>SUMIFS(#REF!,#REF!,$C391&amp;T$319&amp;$D$386&amp;$G$391)</f>
        <v>#REF!</v>
      </c>
      <c r="U393" s="227" t="e">
        <f>SUMIFS(#REF!,#REF!,$C391&amp;U$319&amp;$D$386&amp;$G$391)</f>
        <v>#REF!</v>
      </c>
      <c r="V393" s="227" t="e">
        <f>SUMIFS(#REF!,#REF!,$C391&amp;V$319&amp;$D$386&amp;$G$391)</f>
        <v>#REF!</v>
      </c>
      <c r="W393" s="227" t="e">
        <f>SUMIFS(#REF!,#REF!,$C391&amp;W$319&amp;$D$386&amp;$G$391)</f>
        <v>#REF!</v>
      </c>
      <c r="X393" s="227" t="e">
        <f>SUMIFS(#REF!,#REF!,$C391&amp;X$319&amp;$D$386&amp;$G$391)</f>
        <v>#REF!</v>
      </c>
      <c r="Y393" s="227" t="e">
        <f>SUMIFS(#REF!,#REF!,$C391&amp;Y$319&amp;$D$386&amp;$G$391)</f>
        <v>#REF!</v>
      </c>
      <c r="Z393" s="227" t="e">
        <f>SUMIFS(#REF!,#REF!,$C391&amp;Z$319&amp;$D$386&amp;$G$391)</f>
        <v>#REF!</v>
      </c>
      <c r="AA393" s="227" t="e">
        <f>SUMIFS(#REF!,#REF!,$C391&amp;AA$319&amp;$D$386&amp;$G$391)</f>
        <v>#REF!</v>
      </c>
      <c r="AB393" s="227" t="e">
        <f>SUMIFS(#REF!,#REF!,$C391&amp;AB$319&amp;$D$386&amp;$G$391)</f>
        <v>#REF!</v>
      </c>
      <c r="AC393" s="227" t="e">
        <f>SUMIFS(#REF!,#REF!,$C391&amp;AC$319&amp;$D$386&amp;$G$391)</f>
        <v>#REF!</v>
      </c>
      <c r="AD393" s="227" t="e">
        <f>SUMIFS(#REF!,#REF!,$C391&amp;AD$319&amp;$D$386&amp;$G$391)</f>
        <v>#REF!</v>
      </c>
      <c r="AE393" s="227" t="e">
        <f>SUMIFS(#REF!,#REF!,$C391&amp;AE$319&amp;$D$386&amp;$G$391)</f>
        <v>#REF!</v>
      </c>
      <c r="AF393" s="227" t="e">
        <f>SUMIFS(#REF!,#REF!,$C391&amp;AF$319&amp;$D$386&amp;$G$391)</f>
        <v>#REF!</v>
      </c>
      <c r="AG393" s="227" t="e">
        <f>SUMIFS(#REF!,#REF!,$C391&amp;AG$319&amp;$D$386&amp;$G$391)</f>
        <v>#REF!</v>
      </c>
      <c r="AH393" s="227" t="e">
        <f>SUMIFS(#REF!,#REF!,$C391&amp;AH$319&amp;$D$386&amp;$G$391)</f>
        <v>#REF!</v>
      </c>
      <c r="AI393" s="227" t="e">
        <f>SUMIFS(#REF!,#REF!,$C391&amp;AI$319&amp;$D$386&amp;$G$391)</f>
        <v>#REF!</v>
      </c>
      <c r="AJ393" s="227" t="e">
        <f>SUMIFS(#REF!,#REF!,$C391&amp;AJ$319&amp;$D$386&amp;$G$391)</f>
        <v>#REF!</v>
      </c>
      <c r="AK393" s="227" t="e">
        <f>SUMIFS(#REF!,#REF!,$C391&amp;AK$319&amp;$D$386&amp;$G$391)</f>
        <v>#REF!</v>
      </c>
      <c r="AL393" s="227" t="e">
        <f>SUMIFS(#REF!,#REF!,$C391&amp;AL$319&amp;$D$386&amp;$G$391)</f>
        <v>#REF!</v>
      </c>
      <c r="AM393" s="227" t="e">
        <f>SUMIFS(#REF!,#REF!,$C391&amp;AM$319&amp;$D$386&amp;$G$391)</f>
        <v>#REF!</v>
      </c>
    </row>
    <row r="394" s="5" customFormat="1" ht="37.2" hidden="1" customHeight="1" spans="3:48">
      <c r="C394" s="228" t="s">
        <v>52</v>
      </c>
      <c r="D394" s="229"/>
      <c r="E394" s="229"/>
      <c r="F394" s="230"/>
      <c r="G394" s="231"/>
      <c r="H394" s="232" t="s">
        <v>110</v>
      </c>
      <c r="I394" s="177">
        <f t="shared" ref="I394:AM394" si="162">IFERROR(I393/I$402,0)</f>
        <v>0</v>
      </c>
      <c r="J394" s="177">
        <f t="shared" si="162"/>
        <v>0</v>
      </c>
      <c r="K394" s="177">
        <f t="shared" si="162"/>
        <v>0</v>
      </c>
      <c r="L394" s="177">
        <f t="shared" si="162"/>
        <v>0</v>
      </c>
      <c r="M394" s="177">
        <f t="shared" si="162"/>
        <v>0</v>
      </c>
      <c r="N394" s="177">
        <f t="shared" si="162"/>
        <v>0</v>
      </c>
      <c r="O394" s="177">
        <f t="shared" si="162"/>
        <v>0</v>
      </c>
      <c r="P394" s="177">
        <f t="shared" si="162"/>
        <v>0</v>
      </c>
      <c r="Q394" s="177">
        <f t="shared" si="162"/>
        <v>0</v>
      </c>
      <c r="R394" s="177">
        <f t="shared" si="162"/>
        <v>0</v>
      </c>
      <c r="S394" s="177">
        <f t="shared" si="162"/>
        <v>0</v>
      </c>
      <c r="T394" s="177">
        <f t="shared" si="162"/>
        <v>0</v>
      </c>
      <c r="U394" s="177">
        <f t="shared" si="162"/>
        <v>0</v>
      </c>
      <c r="V394" s="177">
        <f t="shared" si="162"/>
        <v>0</v>
      </c>
      <c r="W394" s="177">
        <f t="shared" si="162"/>
        <v>0</v>
      </c>
      <c r="X394" s="177">
        <f t="shared" si="162"/>
        <v>0</v>
      </c>
      <c r="Y394" s="177">
        <f t="shared" si="162"/>
        <v>0</v>
      </c>
      <c r="Z394" s="177">
        <f t="shared" si="162"/>
        <v>0</v>
      </c>
      <c r="AA394" s="177">
        <f t="shared" si="162"/>
        <v>0</v>
      </c>
      <c r="AB394" s="177">
        <f t="shared" si="162"/>
        <v>0</v>
      </c>
      <c r="AC394" s="177">
        <f t="shared" si="162"/>
        <v>0</v>
      </c>
      <c r="AD394" s="177">
        <f t="shared" si="162"/>
        <v>0</v>
      </c>
      <c r="AE394" s="177">
        <f t="shared" si="162"/>
        <v>0</v>
      </c>
      <c r="AF394" s="177">
        <f t="shared" si="162"/>
        <v>0</v>
      </c>
      <c r="AG394" s="177">
        <f t="shared" si="162"/>
        <v>0</v>
      </c>
      <c r="AH394" s="177">
        <f t="shared" si="162"/>
        <v>0</v>
      </c>
      <c r="AI394" s="177">
        <f t="shared" si="162"/>
        <v>0</v>
      </c>
      <c r="AJ394" s="177">
        <f t="shared" si="162"/>
        <v>0</v>
      </c>
      <c r="AK394" s="177">
        <f t="shared" si="162"/>
        <v>0</v>
      </c>
      <c r="AL394" s="177">
        <f t="shared" si="162"/>
        <v>0</v>
      </c>
      <c r="AM394" s="177">
        <f t="shared" si="162"/>
        <v>0</v>
      </c>
    </row>
    <row r="395" s="5" customFormat="1" ht="37.2" hidden="1" customHeight="1" spans="3:48">
      <c r="C395" s="228" t="s">
        <v>52</v>
      </c>
      <c r="D395" s="229"/>
      <c r="E395" s="229"/>
      <c r="F395" s="230"/>
      <c r="G395" s="233"/>
      <c r="H395" s="232" t="s">
        <v>111</v>
      </c>
      <c r="I395" s="176">
        <f t="shared" ref="I395:AM395" si="163">IFERROR(I393/I391,0)</f>
        <v>0</v>
      </c>
      <c r="J395" s="176">
        <f t="shared" si="163"/>
        <v>0</v>
      </c>
      <c r="K395" s="176">
        <f t="shared" si="163"/>
        <v>0</v>
      </c>
      <c r="L395" s="176">
        <f t="shared" si="163"/>
        <v>0</v>
      </c>
      <c r="M395" s="176">
        <f t="shared" si="163"/>
        <v>0</v>
      </c>
      <c r="N395" s="176">
        <f t="shared" si="163"/>
        <v>0</v>
      </c>
      <c r="O395" s="176">
        <f t="shared" si="163"/>
        <v>0</v>
      </c>
      <c r="P395" s="176">
        <f t="shared" si="163"/>
        <v>0</v>
      </c>
      <c r="Q395" s="176">
        <f t="shared" si="163"/>
        <v>0</v>
      </c>
      <c r="R395" s="176">
        <f t="shared" si="163"/>
        <v>0</v>
      </c>
      <c r="S395" s="176">
        <f t="shared" si="163"/>
        <v>0</v>
      </c>
      <c r="T395" s="176">
        <f t="shared" si="163"/>
        <v>0</v>
      </c>
      <c r="U395" s="176">
        <f t="shared" si="163"/>
        <v>0</v>
      </c>
      <c r="V395" s="176">
        <f t="shared" si="163"/>
        <v>0</v>
      </c>
      <c r="W395" s="176">
        <f t="shared" si="163"/>
        <v>0</v>
      </c>
      <c r="X395" s="176">
        <f t="shared" si="163"/>
        <v>0</v>
      </c>
      <c r="Y395" s="176">
        <f t="shared" si="163"/>
        <v>0</v>
      </c>
      <c r="Z395" s="176">
        <f t="shared" si="163"/>
        <v>0</v>
      </c>
      <c r="AA395" s="176">
        <f t="shared" si="163"/>
        <v>0</v>
      </c>
      <c r="AB395" s="176">
        <f t="shared" si="163"/>
        <v>0</v>
      </c>
      <c r="AC395" s="176">
        <f t="shared" si="163"/>
        <v>0</v>
      </c>
      <c r="AD395" s="176">
        <f t="shared" si="163"/>
        <v>0</v>
      </c>
      <c r="AE395" s="176">
        <f t="shared" si="163"/>
        <v>0</v>
      </c>
      <c r="AF395" s="176">
        <f t="shared" si="163"/>
        <v>0</v>
      </c>
      <c r="AG395" s="176">
        <f t="shared" si="163"/>
        <v>0</v>
      </c>
      <c r="AH395" s="176">
        <f t="shared" si="163"/>
        <v>0</v>
      </c>
      <c r="AI395" s="176">
        <f t="shared" si="163"/>
        <v>0</v>
      </c>
      <c r="AJ395" s="176">
        <f t="shared" si="163"/>
        <v>0</v>
      </c>
      <c r="AK395" s="176">
        <f t="shared" si="163"/>
        <v>0</v>
      </c>
      <c r="AL395" s="176">
        <f t="shared" si="163"/>
        <v>0</v>
      </c>
      <c r="AM395" s="176">
        <f t="shared" si="163"/>
        <v>0</v>
      </c>
    </row>
    <row r="396" ht="37.2" hidden="1" customHeight="1" spans="3:48">
      <c r="C396" s="214" t="s">
        <v>52</v>
      </c>
      <c r="D396" s="218"/>
      <c r="E396" s="218"/>
      <c r="F396" s="218"/>
      <c r="G396" s="216" t="s">
        <v>113</v>
      </c>
      <c r="H396" s="217" t="s">
        <v>107</v>
      </c>
      <c r="I396" s="182">
        <f>SUM(J396:HU396)</f>
        <v>9358</v>
      </c>
      <c r="J396" s="182">
        <v>562</v>
      </c>
      <c r="K396" s="182">
        <v>281</v>
      </c>
      <c r="L396" s="182">
        <v>468</v>
      </c>
      <c r="M396" s="182">
        <v>281</v>
      </c>
      <c r="N396" s="182">
        <v>187</v>
      </c>
      <c r="O396" s="182">
        <v>187</v>
      </c>
      <c r="P396" s="182">
        <v>187</v>
      </c>
      <c r="Q396" s="182">
        <v>187</v>
      </c>
      <c r="R396" s="182">
        <v>187</v>
      </c>
      <c r="S396" s="182">
        <v>187</v>
      </c>
      <c r="T396" s="182">
        <v>187</v>
      </c>
      <c r="U396" s="182">
        <v>94</v>
      </c>
      <c r="V396" s="182">
        <v>281</v>
      </c>
      <c r="W396" s="182">
        <v>468</v>
      </c>
      <c r="X396" s="182">
        <v>655</v>
      </c>
      <c r="Y396" s="182">
        <v>749</v>
      </c>
      <c r="Z396" s="182">
        <v>749</v>
      </c>
      <c r="AA396" s="182">
        <v>936</v>
      </c>
      <c r="AB396" s="182">
        <v>281</v>
      </c>
      <c r="AC396" s="182">
        <v>374</v>
      </c>
      <c r="AD396" s="182">
        <v>187</v>
      </c>
      <c r="AE396" s="182">
        <v>187</v>
      </c>
      <c r="AF396" s="182">
        <v>187</v>
      </c>
      <c r="AG396" s="182">
        <v>187</v>
      </c>
      <c r="AH396" s="182">
        <v>187</v>
      </c>
      <c r="AI396" s="182">
        <v>187</v>
      </c>
      <c r="AJ396" s="182">
        <v>187</v>
      </c>
      <c r="AK396" s="182">
        <v>187</v>
      </c>
      <c r="AL396" s="182">
        <v>187</v>
      </c>
      <c r="AM396" s="182">
        <v>187</v>
      </c>
      <c r="AN396" s="15"/>
      <c r="AO396" s="15"/>
      <c r="AP396" s="15"/>
      <c r="AQ396" s="15"/>
      <c r="AR396" s="15"/>
      <c r="AS396" s="15"/>
      <c r="AT396" s="15"/>
      <c r="AU396" s="15"/>
      <c r="AV396" s="15"/>
    </row>
    <row r="397" ht="37.2" hidden="1" customHeight="1" spans="3:48">
      <c r="C397" s="214" t="s">
        <v>52</v>
      </c>
      <c r="D397" s="218"/>
      <c r="E397" s="218"/>
      <c r="F397" s="219"/>
      <c r="G397" s="220"/>
      <c r="H397" s="221" t="s">
        <v>108</v>
      </c>
      <c r="I397" s="177">
        <v>0.2</v>
      </c>
      <c r="J397" s="177">
        <v>0.2</v>
      </c>
      <c r="K397" s="177">
        <v>0.2</v>
      </c>
      <c r="L397" s="177">
        <v>0.2</v>
      </c>
      <c r="M397" s="177">
        <v>0.2</v>
      </c>
      <c r="N397" s="177">
        <v>0.2</v>
      </c>
      <c r="O397" s="177">
        <v>0.2</v>
      </c>
      <c r="P397" s="177">
        <v>0.2</v>
      </c>
      <c r="Q397" s="177">
        <v>0.2</v>
      </c>
      <c r="R397" s="177">
        <v>0.2</v>
      </c>
      <c r="S397" s="177">
        <v>0.2</v>
      </c>
      <c r="T397" s="177">
        <v>0.2</v>
      </c>
      <c r="U397" s="177">
        <v>0.2</v>
      </c>
      <c r="V397" s="177">
        <v>0.2</v>
      </c>
      <c r="W397" s="177">
        <v>0.2</v>
      </c>
      <c r="X397" s="177">
        <v>0.2</v>
      </c>
      <c r="Y397" s="177">
        <v>0.2</v>
      </c>
      <c r="Z397" s="177">
        <v>0.2</v>
      </c>
      <c r="AA397" s="177">
        <v>0.2</v>
      </c>
      <c r="AB397" s="177">
        <v>0.2</v>
      </c>
      <c r="AC397" s="177">
        <v>0.2</v>
      </c>
      <c r="AD397" s="177">
        <v>0.2</v>
      </c>
      <c r="AE397" s="177">
        <v>0.2</v>
      </c>
      <c r="AF397" s="177">
        <v>0.2</v>
      </c>
      <c r="AG397" s="177">
        <v>0.2</v>
      </c>
      <c r="AH397" s="177">
        <v>0.2</v>
      </c>
      <c r="AI397" s="177">
        <v>0.2</v>
      </c>
      <c r="AJ397" s="177">
        <v>0.2</v>
      </c>
      <c r="AK397" s="177">
        <v>0.2</v>
      </c>
      <c r="AL397" s="177">
        <v>0.2</v>
      </c>
      <c r="AM397" s="177">
        <v>0.2</v>
      </c>
      <c r="AN397" s="15"/>
      <c r="AO397" s="15"/>
      <c r="AP397" s="15"/>
      <c r="AQ397" s="15"/>
      <c r="AR397" s="15"/>
      <c r="AS397" s="15"/>
      <c r="AT397" s="15"/>
      <c r="AU397" s="15"/>
      <c r="AV397" s="15"/>
    </row>
    <row r="398" ht="37.2" hidden="1" customHeight="1" spans="3:48">
      <c r="C398" s="214" t="s">
        <v>52</v>
      </c>
      <c r="D398" s="218"/>
      <c r="E398" s="218"/>
      <c r="F398" s="219"/>
      <c r="G398" s="220"/>
      <c r="H398" s="234" t="s">
        <v>109</v>
      </c>
      <c r="I398" s="170" t="e">
        <f>SUM(J398:HU398)</f>
        <v>#REF!</v>
      </c>
      <c r="J398" s="170" t="e">
        <f>SUMIFS(#REF!,#REF!,$C396&amp;J$319&amp;$D$386&amp;$G$396)</f>
        <v>#REF!</v>
      </c>
      <c r="K398" s="170" t="e">
        <f>SUMIFS(#REF!,#REF!,$C396&amp;K$319&amp;$D$386&amp;$G$396)</f>
        <v>#REF!</v>
      </c>
      <c r="L398" s="170" t="e">
        <f>SUMIFS(#REF!,#REF!,$C396&amp;L$319&amp;$D$386&amp;$G$396)</f>
        <v>#REF!</v>
      </c>
      <c r="M398" s="170" t="e">
        <f>SUMIFS(#REF!,#REF!,$C396&amp;M$319&amp;$D$386&amp;$G$396)</f>
        <v>#REF!</v>
      </c>
      <c r="N398" s="170" t="e">
        <f>SUMIFS(#REF!,#REF!,$C396&amp;N$319&amp;$D$386&amp;$G$396)</f>
        <v>#REF!</v>
      </c>
      <c r="O398" s="170" t="e">
        <f>SUMIFS(#REF!,#REF!,$C396&amp;O$319&amp;$D$386&amp;$G$396)</f>
        <v>#REF!</v>
      </c>
      <c r="P398" s="170" t="e">
        <f>SUMIFS(#REF!,#REF!,$C396&amp;P$319&amp;$D$386&amp;$G$396)</f>
        <v>#REF!</v>
      </c>
      <c r="Q398" s="170" t="e">
        <f>SUMIFS(#REF!,#REF!,$C396&amp;Q$319&amp;$D$386&amp;$G$396)</f>
        <v>#REF!</v>
      </c>
      <c r="R398" s="170" t="e">
        <f>SUMIFS(#REF!,#REF!,$C396&amp;R$319&amp;$D$386&amp;$G$396)</f>
        <v>#REF!</v>
      </c>
      <c r="S398" s="170" t="e">
        <f>SUMIFS(#REF!,#REF!,$C396&amp;S$319&amp;$D$386&amp;$G$396)</f>
        <v>#REF!</v>
      </c>
      <c r="T398" s="170" t="e">
        <f>SUMIFS(#REF!,#REF!,$C396&amp;T$319&amp;$D$386&amp;$G$396)</f>
        <v>#REF!</v>
      </c>
      <c r="U398" s="170" t="e">
        <f>SUMIFS(#REF!,#REF!,$C396&amp;U$319&amp;$D$386&amp;$G$396)</f>
        <v>#REF!</v>
      </c>
      <c r="V398" s="170" t="e">
        <f>SUMIFS(#REF!,#REF!,$C396&amp;V$319&amp;$D$386&amp;$G$396)</f>
        <v>#REF!</v>
      </c>
      <c r="W398" s="170" t="e">
        <f>SUMIFS(#REF!,#REF!,$C396&amp;W$319&amp;$D$386&amp;$G$396)</f>
        <v>#REF!</v>
      </c>
      <c r="X398" s="170" t="e">
        <f>SUMIFS(#REF!,#REF!,$C396&amp;X$319&amp;$D$386&amp;$G$396)</f>
        <v>#REF!</v>
      </c>
      <c r="Y398" s="170" t="e">
        <f>SUMIFS(#REF!,#REF!,$C396&amp;Y$319&amp;$D$386&amp;$G$396)</f>
        <v>#REF!</v>
      </c>
      <c r="Z398" s="170" t="e">
        <f>SUMIFS(#REF!,#REF!,$C396&amp;Z$319&amp;$D$386&amp;$G$396)</f>
        <v>#REF!</v>
      </c>
      <c r="AA398" s="170" t="e">
        <f>SUMIFS(#REF!,#REF!,$C396&amp;AA$319&amp;$D$386&amp;$G$396)</f>
        <v>#REF!</v>
      </c>
      <c r="AB398" s="170" t="e">
        <f>SUMIFS(#REF!,#REF!,$C396&amp;AB$319&amp;$D$386&amp;$G$396)</f>
        <v>#REF!</v>
      </c>
      <c r="AC398" s="170" t="e">
        <f>SUMIFS(#REF!,#REF!,$C396&amp;AC$319&amp;$D$386&amp;$G$396)</f>
        <v>#REF!</v>
      </c>
      <c r="AD398" s="170" t="e">
        <f>SUMIFS(#REF!,#REF!,$C396&amp;AD$319&amp;$D$386&amp;$G$396)</f>
        <v>#REF!</v>
      </c>
      <c r="AE398" s="170" t="e">
        <f>SUMIFS(#REF!,#REF!,$C396&amp;AE$319&amp;$D$386&amp;$G$396)</f>
        <v>#REF!</v>
      </c>
      <c r="AF398" s="170" t="e">
        <f>SUMIFS(#REF!,#REF!,$C396&amp;AF$319&amp;$D$386&amp;$G$396)</f>
        <v>#REF!</v>
      </c>
      <c r="AG398" s="170" t="e">
        <f>SUMIFS(#REF!,#REF!,$C396&amp;AG$319&amp;$D$386&amp;$G$396)</f>
        <v>#REF!</v>
      </c>
      <c r="AH398" s="170" t="e">
        <f>SUMIFS(#REF!,#REF!,$C396&amp;AH$319&amp;$D$386&amp;$G$396)</f>
        <v>#REF!</v>
      </c>
      <c r="AI398" s="170" t="e">
        <f>SUMIFS(#REF!,#REF!,$C396&amp;AI$319&amp;$D$386&amp;$G$396)</f>
        <v>#REF!</v>
      </c>
      <c r="AJ398" s="170" t="e">
        <f>SUMIFS(#REF!,#REF!,$C396&amp;AJ$319&amp;$D$386&amp;$G$396)</f>
        <v>#REF!</v>
      </c>
      <c r="AK398" s="170" t="e">
        <f>SUMIFS(#REF!,#REF!,$C396&amp;AK$319&amp;$D$386&amp;$G$396)</f>
        <v>#REF!</v>
      </c>
      <c r="AL398" s="170" t="e">
        <f>SUMIFS(#REF!,#REF!,$C396&amp;AL$319&amp;$D$386&amp;$G$396)</f>
        <v>#REF!</v>
      </c>
      <c r="AM398" s="170" t="e">
        <f>SUMIFS(#REF!,#REF!,$C396&amp;AM$319&amp;$D$386&amp;$G$396)</f>
        <v>#REF!</v>
      </c>
      <c r="AN398" s="15"/>
      <c r="AO398" s="15"/>
      <c r="AP398" s="15"/>
      <c r="AQ398" s="15"/>
      <c r="AR398" s="15"/>
      <c r="AS398" s="15"/>
      <c r="AT398" s="15"/>
      <c r="AU398" s="15"/>
      <c r="AV398" s="15"/>
    </row>
    <row r="399" s="5" customFormat="1" ht="37.2" hidden="1" customHeight="1" spans="3:48">
      <c r="C399" s="228" t="s">
        <v>52</v>
      </c>
      <c r="D399" s="229"/>
      <c r="E399" s="229"/>
      <c r="F399" s="230"/>
      <c r="G399" s="231"/>
      <c r="H399" s="232" t="s">
        <v>110</v>
      </c>
      <c r="I399" s="177">
        <f t="shared" ref="I399:AM399" si="164">IFERROR(I398/I$402,0)</f>
        <v>0</v>
      </c>
      <c r="J399" s="177">
        <f t="shared" si="164"/>
        <v>0</v>
      </c>
      <c r="K399" s="177">
        <f t="shared" si="164"/>
        <v>0</v>
      </c>
      <c r="L399" s="177">
        <f t="shared" si="164"/>
        <v>0</v>
      </c>
      <c r="M399" s="177">
        <f t="shared" si="164"/>
        <v>0</v>
      </c>
      <c r="N399" s="177">
        <f t="shared" si="164"/>
        <v>0</v>
      </c>
      <c r="O399" s="177">
        <f t="shared" si="164"/>
        <v>0</v>
      </c>
      <c r="P399" s="177">
        <f t="shared" si="164"/>
        <v>0</v>
      </c>
      <c r="Q399" s="177">
        <f t="shared" si="164"/>
        <v>0</v>
      </c>
      <c r="R399" s="177">
        <f t="shared" si="164"/>
        <v>0</v>
      </c>
      <c r="S399" s="177">
        <f t="shared" si="164"/>
        <v>0</v>
      </c>
      <c r="T399" s="177">
        <f t="shared" si="164"/>
        <v>0</v>
      </c>
      <c r="U399" s="177">
        <f t="shared" si="164"/>
        <v>0</v>
      </c>
      <c r="V399" s="177">
        <f t="shared" si="164"/>
        <v>0</v>
      </c>
      <c r="W399" s="177">
        <f t="shared" si="164"/>
        <v>0</v>
      </c>
      <c r="X399" s="177">
        <f t="shared" si="164"/>
        <v>0</v>
      </c>
      <c r="Y399" s="177">
        <f t="shared" si="164"/>
        <v>0</v>
      </c>
      <c r="Z399" s="177">
        <f t="shared" si="164"/>
        <v>0</v>
      </c>
      <c r="AA399" s="177">
        <f t="shared" si="164"/>
        <v>0</v>
      </c>
      <c r="AB399" s="177">
        <f t="shared" si="164"/>
        <v>0</v>
      </c>
      <c r="AC399" s="177">
        <f t="shared" si="164"/>
        <v>0</v>
      </c>
      <c r="AD399" s="177">
        <f t="shared" si="164"/>
        <v>0</v>
      </c>
      <c r="AE399" s="177">
        <f t="shared" si="164"/>
        <v>0</v>
      </c>
      <c r="AF399" s="177">
        <f t="shared" si="164"/>
        <v>0</v>
      </c>
      <c r="AG399" s="177">
        <f t="shared" si="164"/>
        <v>0</v>
      </c>
      <c r="AH399" s="177">
        <f t="shared" si="164"/>
        <v>0</v>
      </c>
      <c r="AI399" s="177">
        <f t="shared" si="164"/>
        <v>0</v>
      </c>
      <c r="AJ399" s="177">
        <f t="shared" si="164"/>
        <v>0</v>
      </c>
      <c r="AK399" s="177">
        <f t="shared" si="164"/>
        <v>0</v>
      </c>
      <c r="AL399" s="177">
        <f t="shared" si="164"/>
        <v>0</v>
      </c>
      <c r="AM399" s="177">
        <f t="shared" si="164"/>
        <v>0</v>
      </c>
    </row>
    <row r="400" s="5" customFormat="1" ht="37.2" hidden="1" customHeight="1" spans="3:48">
      <c r="C400" s="228" t="s">
        <v>52</v>
      </c>
      <c r="D400" s="229"/>
      <c r="E400" s="229"/>
      <c r="F400" s="230"/>
      <c r="G400" s="233"/>
      <c r="H400" s="232" t="s">
        <v>111</v>
      </c>
      <c r="I400" s="176">
        <f t="shared" ref="I400:AM400" si="165">IFERROR(I398/I396,0)</f>
        <v>0</v>
      </c>
      <c r="J400" s="176">
        <f t="shared" si="165"/>
        <v>0</v>
      </c>
      <c r="K400" s="176">
        <f t="shared" si="165"/>
        <v>0</v>
      </c>
      <c r="L400" s="176">
        <f t="shared" si="165"/>
        <v>0</v>
      </c>
      <c r="M400" s="176">
        <f t="shared" si="165"/>
        <v>0</v>
      </c>
      <c r="N400" s="176">
        <f t="shared" si="165"/>
        <v>0</v>
      </c>
      <c r="O400" s="176">
        <f t="shared" si="165"/>
        <v>0</v>
      </c>
      <c r="P400" s="176">
        <f t="shared" si="165"/>
        <v>0</v>
      </c>
      <c r="Q400" s="176">
        <f t="shared" si="165"/>
        <v>0</v>
      </c>
      <c r="R400" s="176">
        <f t="shared" si="165"/>
        <v>0</v>
      </c>
      <c r="S400" s="176">
        <f t="shared" si="165"/>
        <v>0</v>
      </c>
      <c r="T400" s="176">
        <f t="shared" si="165"/>
        <v>0</v>
      </c>
      <c r="U400" s="176">
        <f t="shared" si="165"/>
        <v>0</v>
      </c>
      <c r="V400" s="176">
        <f t="shared" si="165"/>
        <v>0</v>
      </c>
      <c r="W400" s="176">
        <f t="shared" si="165"/>
        <v>0</v>
      </c>
      <c r="X400" s="176">
        <f t="shared" si="165"/>
        <v>0</v>
      </c>
      <c r="Y400" s="176">
        <f t="shared" si="165"/>
        <v>0</v>
      </c>
      <c r="Z400" s="176">
        <f t="shared" si="165"/>
        <v>0</v>
      </c>
      <c r="AA400" s="176">
        <f t="shared" si="165"/>
        <v>0</v>
      </c>
      <c r="AB400" s="176">
        <f t="shared" si="165"/>
        <v>0</v>
      </c>
      <c r="AC400" s="176">
        <f t="shared" si="165"/>
        <v>0</v>
      </c>
      <c r="AD400" s="176">
        <f t="shared" si="165"/>
        <v>0</v>
      </c>
      <c r="AE400" s="176">
        <f t="shared" si="165"/>
        <v>0</v>
      </c>
      <c r="AF400" s="176">
        <f t="shared" si="165"/>
        <v>0</v>
      </c>
      <c r="AG400" s="176">
        <f t="shared" si="165"/>
        <v>0</v>
      </c>
      <c r="AH400" s="176">
        <f t="shared" si="165"/>
        <v>0</v>
      </c>
      <c r="AI400" s="176">
        <f t="shared" si="165"/>
        <v>0</v>
      </c>
      <c r="AJ400" s="176">
        <f t="shared" si="165"/>
        <v>0</v>
      </c>
      <c r="AK400" s="176">
        <f t="shared" si="165"/>
        <v>0</v>
      </c>
      <c r="AL400" s="176">
        <f t="shared" si="165"/>
        <v>0</v>
      </c>
      <c r="AM400" s="176">
        <f t="shared" si="165"/>
        <v>0</v>
      </c>
    </row>
    <row r="401" ht="37.2" hidden="1" customHeight="1" spans="3:48">
      <c r="C401" s="214" t="s">
        <v>52</v>
      </c>
      <c r="D401" s="218"/>
      <c r="E401" s="218"/>
      <c r="F401" s="218"/>
      <c r="G401" s="216" t="s">
        <v>38</v>
      </c>
      <c r="H401" s="217" t="s">
        <v>107</v>
      </c>
      <c r="I401" s="182">
        <f>SUM(J401:HU401)</f>
        <v>46796</v>
      </c>
      <c r="J401" s="182">
        <v>2804</v>
      </c>
      <c r="K401" s="182">
        <v>1404</v>
      </c>
      <c r="L401" s="182">
        <v>2340</v>
      </c>
      <c r="M401" s="182">
        <v>1404</v>
      </c>
      <c r="N401" s="182">
        <v>936</v>
      </c>
      <c r="O401" s="182">
        <v>936</v>
      </c>
      <c r="P401" s="182">
        <v>936</v>
      </c>
      <c r="Q401" s="182">
        <v>936</v>
      </c>
      <c r="R401" s="182">
        <v>936</v>
      </c>
      <c r="S401" s="182">
        <v>936</v>
      </c>
      <c r="T401" s="182">
        <v>936</v>
      </c>
      <c r="U401" s="182">
        <v>468</v>
      </c>
      <c r="V401" s="182">
        <v>1404</v>
      </c>
      <c r="W401" s="182">
        <v>2340</v>
      </c>
      <c r="X401" s="182">
        <v>3276</v>
      </c>
      <c r="Y401" s="182">
        <v>3744</v>
      </c>
      <c r="Z401" s="182">
        <v>3744</v>
      </c>
      <c r="AA401" s="182">
        <v>4680</v>
      </c>
      <c r="AB401" s="182">
        <v>1404</v>
      </c>
      <c r="AC401" s="182">
        <v>1872</v>
      </c>
      <c r="AD401" s="182">
        <v>936</v>
      </c>
      <c r="AE401" s="182">
        <v>936</v>
      </c>
      <c r="AF401" s="182">
        <v>936</v>
      </c>
      <c r="AG401" s="182">
        <v>936</v>
      </c>
      <c r="AH401" s="182">
        <v>936</v>
      </c>
      <c r="AI401" s="182">
        <v>936</v>
      </c>
      <c r="AJ401" s="182">
        <v>936</v>
      </c>
      <c r="AK401" s="182">
        <v>936</v>
      </c>
      <c r="AL401" s="182">
        <v>936</v>
      </c>
      <c r="AM401" s="182">
        <v>936</v>
      </c>
      <c r="AN401" s="11"/>
      <c r="AO401" s="15"/>
      <c r="AP401" s="15"/>
      <c r="AQ401" s="15"/>
      <c r="AR401" s="15"/>
      <c r="AS401" s="15"/>
      <c r="AT401" s="15"/>
      <c r="AU401" s="15"/>
      <c r="AV401" s="15"/>
    </row>
    <row r="402" ht="37.2" hidden="1" customHeight="1" spans="3:48">
      <c r="C402" s="214" t="s">
        <v>52</v>
      </c>
      <c r="D402" s="218"/>
      <c r="E402" s="218"/>
      <c r="F402" s="219"/>
      <c r="G402" s="220"/>
      <c r="H402" s="234" t="s">
        <v>109</v>
      </c>
      <c r="I402" s="170" t="e">
        <f>SUM(J402:HU402)</f>
        <v>#REF!</v>
      </c>
      <c r="J402" s="235" t="e">
        <f t="shared" ref="J402:AM402" si="166">ROUND(J388+J393+J398,0)</f>
        <v>#REF!</v>
      </c>
      <c r="K402" s="235" t="e">
        <f t="shared" si="166"/>
        <v>#REF!</v>
      </c>
      <c r="L402" s="235" t="e">
        <f t="shared" si="166"/>
        <v>#REF!</v>
      </c>
      <c r="M402" s="235" t="e">
        <f t="shared" si="166"/>
        <v>#REF!</v>
      </c>
      <c r="N402" s="235" t="e">
        <f t="shared" si="166"/>
        <v>#REF!</v>
      </c>
      <c r="O402" s="235" t="e">
        <f t="shared" si="166"/>
        <v>#REF!</v>
      </c>
      <c r="P402" s="235" t="e">
        <f t="shared" si="166"/>
        <v>#REF!</v>
      </c>
      <c r="Q402" s="235" t="e">
        <f t="shared" si="166"/>
        <v>#REF!</v>
      </c>
      <c r="R402" s="235" t="e">
        <f t="shared" si="166"/>
        <v>#REF!</v>
      </c>
      <c r="S402" s="235" t="e">
        <f t="shared" si="166"/>
        <v>#REF!</v>
      </c>
      <c r="T402" s="235" t="e">
        <f t="shared" si="166"/>
        <v>#REF!</v>
      </c>
      <c r="U402" s="235" t="e">
        <f t="shared" si="166"/>
        <v>#REF!</v>
      </c>
      <c r="V402" s="235" t="e">
        <f t="shared" si="166"/>
        <v>#REF!</v>
      </c>
      <c r="W402" s="235" t="e">
        <f t="shared" si="166"/>
        <v>#REF!</v>
      </c>
      <c r="X402" s="235" t="e">
        <f t="shared" si="166"/>
        <v>#REF!</v>
      </c>
      <c r="Y402" s="235" t="e">
        <f t="shared" si="166"/>
        <v>#REF!</v>
      </c>
      <c r="Z402" s="235" t="e">
        <f t="shared" si="166"/>
        <v>#REF!</v>
      </c>
      <c r="AA402" s="235" t="e">
        <f t="shared" si="166"/>
        <v>#REF!</v>
      </c>
      <c r="AB402" s="235" t="e">
        <f t="shared" si="166"/>
        <v>#REF!</v>
      </c>
      <c r="AC402" s="235" t="e">
        <f t="shared" si="166"/>
        <v>#REF!</v>
      </c>
      <c r="AD402" s="235" t="e">
        <f t="shared" si="166"/>
        <v>#REF!</v>
      </c>
      <c r="AE402" s="235" t="e">
        <f t="shared" si="166"/>
        <v>#REF!</v>
      </c>
      <c r="AF402" s="235" t="e">
        <f t="shared" si="166"/>
        <v>#REF!</v>
      </c>
      <c r="AG402" s="235" t="e">
        <f t="shared" si="166"/>
        <v>#REF!</v>
      </c>
      <c r="AH402" s="235" t="e">
        <f t="shared" si="166"/>
        <v>#REF!</v>
      </c>
      <c r="AI402" s="235" t="e">
        <f t="shared" si="166"/>
        <v>#REF!</v>
      </c>
      <c r="AJ402" s="235" t="e">
        <f t="shared" si="166"/>
        <v>#REF!</v>
      </c>
      <c r="AK402" s="235" t="e">
        <f t="shared" si="166"/>
        <v>#REF!</v>
      </c>
      <c r="AL402" s="235" t="e">
        <f t="shared" si="166"/>
        <v>#REF!</v>
      </c>
      <c r="AM402" s="235" t="e">
        <f t="shared" si="166"/>
        <v>#REF!</v>
      </c>
      <c r="AN402" s="15"/>
      <c r="AO402" s="15"/>
      <c r="AP402" s="15"/>
      <c r="AQ402" s="15"/>
      <c r="AR402" s="15"/>
      <c r="AS402" s="15"/>
      <c r="AT402" s="15"/>
      <c r="AU402" s="15"/>
      <c r="AV402" s="15"/>
    </row>
    <row r="403" s="5" customFormat="1" ht="37.2" hidden="1" customHeight="1" spans="3:48">
      <c r="C403" s="228" t="s">
        <v>52</v>
      </c>
      <c r="D403" s="236"/>
      <c r="E403" s="236"/>
      <c r="F403" s="237"/>
      <c r="G403" s="233"/>
      <c r="H403" s="232" t="s">
        <v>111</v>
      </c>
      <c r="I403" s="176">
        <f t="shared" ref="I403:AM403" si="167">IFERROR(I402/I401,0)</f>
        <v>0</v>
      </c>
      <c r="J403" s="176">
        <f t="shared" si="167"/>
        <v>0</v>
      </c>
      <c r="K403" s="176">
        <f t="shared" si="167"/>
        <v>0</v>
      </c>
      <c r="L403" s="176">
        <f t="shared" si="167"/>
        <v>0</v>
      </c>
      <c r="M403" s="176">
        <f t="shared" si="167"/>
        <v>0</v>
      </c>
      <c r="N403" s="176">
        <f t="shared" si="167"/>
        <v>0</v>
      </c>
      <c r="O403" s="176">
        <f t="shared" si="167"/>
        <v>0</v>
      </c>
      <c r="P403" s="176">
        <f t="shared" si="167"/>
        <v>0</v>
      </c>
      <c r="Q403" s="176">
        <f t="shared" si="167"/>
        <v>0</v>
      </c>
      <c r="R403" s="176">
        <f t="shared" si="167"/>
        <v>0</v>
      </c>
      <c r="S403" s="176">
        <f t="shared" si="167"/>
        <v>0</v>
      </c>
      <c r="T403" s="176">
        <f t="shared" si="167"/>
        <v>0</v>
      </c>
      <c r="U403" s="176">
        <f t="shared" si="167"/>
        <v>0</v>
      </c>
      <c r="V403" s="176">
        <f t="shared" si="167"/>
        <v>0</v>
      </c>
      <c r="W403" s="176">
        <f t="shared" si="167"/>
        <v>0</v>
      </c>
      <c r="X403" s="176">
        <f t="shared" si="167"/>
        <v>0</v>
      </c>
      <c r="Y403" s="176">
        <f t="shared" si="167"/>
        <v>0</v>
      </c>
      <c r="Z403" s="176">
        <f t="shared" si="167"/>
        <v>0</v>
      </c>
      <c r="AA403" s="176">
        <f t="shared" si="167"/>
        <v>0</v>
      </c>
      <c r="AB403" s="176">
        <f t="shared" si="167"/>
        <v>0</v>
      </c>
      <c r="AC403" s="176">
        <f t="shared" si="167"/>
        <v>0</v>
      </c>
      <c r="AD403" s="176">
        <f t="shared" si="167"/>
        <v>0</v>
      </c>
      <c r="AE403" s="176">
        <f t="shared" si="167"/>
        <v>0</v>
      </c>
      <c r="AF403" s="176">
        <f t="shared" si="167"/>
        <v>0</v>
      </c>
      <c r="AG403" s="176">
        <f t="shared" si="167"/>
        <v>0</v>
      </c>
      <c r="AH403" s="176">
        <f t="shared" si="167"/>
        <v>0</v>
      </c>
      <c r="AI403" s="176">
        <f t="shared" si="167"/>
        <v>0</v>
      </c>
      <c r="AJ403" s="176">
        <f t="shared" si="167"/>
        <v>0</v>
      </c>
      <c r="AK403" s="176">
        <f t="shared" si="167"/>
        <v>0</v>
      </c>
      <c r="AL403" s="176">
        <f t="shared" si="167"/>
        <v>0</v>
      </c>
      <c r="AM403" s="176">
        <f t="shared" si="167"/>
        <v>0</v>
      </c>
    </row>
    <row r="404" ht="37.2" hidden="1" customHeight="1" spans="3:48">
      <c r="C404" s="214" t="s">
        <v>52</v>
      </c>
      <c r="D404" s="215" t="s">
        <v>88</v>
      </c>
      <c r="E404" s="215">
        <v>0.05</v>
      </c>
      <c r="F404" s="215" t="e">
        <f>I415/$I$477</f>
        <v>#REF!</v>
      </c>
      <c r="G404" s="216" t="s">
        <v>106</v>
      </c>
      <c r="H404" s="217" t="s">
        <v>107</v>
      </c>
      <c r="I404" s="182">
        <f>SUM(J404:HU404)</f>
        <v>3506</v>
      </c>
      <c r="J404" s="182">
        <v>210</v>
      </c>
      <c r="K404" s="182">
        <v>105</v>
      </c>
      <c r="L404" s="182">
        <v>176</v>
      </c>
      <c r="M404" s="182">
        <v>105</v>
      </c>
      <c r="N404" s="182">
        <v>70</v>
      </c>
      <c r="O404" s="182">
        <v>70</v>
      </c>
      <c r="P404" s="182">
        <v>70</v>
      </c>
      <c r="Q404" s="182">
        <v>70</v>
      </c>
      <c r="R404" s="182">
        <v>70</v>
      </c>
      <c r="S404" s="182">
        <v>70</v>
      </c>
      <c r="T404" s="182">
        <v>70</v>
      </c>
      <c r="U404" s="182">
        <v>35</v>
      </c>
      <c r="V404" s="182">
        <v>105</v>
      </c>
      <c r="W404" s="182">
        <v>176</v>
      </c>
      <c r="X404" s="182">
        <v>246</v>
      </c>
      <c r="Y404" s="182">
        <v>281</v>
      </c>
      <c r="Z404" s="182">
        <v>281</v>
      </c>
      <c r="AA404" s="182">
        <v>351</v>
      </c>
      <c r="AB404" s="182">
        <v>105</v>
      </c>
      <c r="AC404" s="182">
        <v>140</v>
      </c>
      <c r="AD404" s="182">
        <v>70</v>
      </c>
      <c r="AE404" s="182">
        <v>70</v>
      </c>
      <c r="AF404" s="182">
        <v>70</v>
      </c>
      <c r="AG404" s="182">
        <v>70</v>
      </c>
      <c r="AH404" s="182">
        <v>70</v>
      </c>
      <c r="AI404" s="182">
        <v>70</v>
      </c>
      <c r="AJ404" s="182">
        <v>70</v>
      </c>
      <c r="AK404" s="182">
        <v>70</v>
      </c>
      <c r="AL404" s="182">
        <v>70</v>
      </c>
      <c r="AM404" s="182">
        <v>70</v>
      </c>
      <c r="AN404" s="15"/>
      <c r="AO404" s="15"/>
      <c r="AP404" s="15"/>
      <c r="AQ404" s="15"/>
      <c r="AR404" s="15"/>
      <c r="AS404" s="15"/>
      <c r="AT404" s="15"/>
      <c r="AU404" s="15"/>
      <c r="AV404" s="15"/>
    </row>
    <row r="405" ht="37.2" hidden="1" customHeight="1" spans="3:48">
      <c r="C405" s="214" t="s">
        <v>52</v>
      </c>
      <c r="D405" s="218"/>
      <c r="E405" s="218"/>
      <c r="F405" s="219"/>
      <c r="G405" s="220"/>
      <c r="H405" s="221" t="s">
        <v>108</v>
      </c>
      <c r="I405" s="177">
        <v>0.6</v>
      </c>
      <c r="J405" s="177">
        <v>0.6</v>
      </c>
      <c r="K405" s="177">
        <v>0.6</v>
      </c>
      <c r="L405" s="177">
        <v>0.6</v>
      </c>
      <c r="M405" s="177">
        <v>0.6</v>
      </c>
      <c r="N405" s="177">
        <v>0.6</v>
      </c>
      <c r="O405" s="177">
        <v>0.6</v>
      </c>
      <c r="P405" s="177">
        <v>0.6</v>
      </c>
      <c r="Q405" s="177">
        <v>0.6</v>
      </c>
      <c r="R405" s="177">
        <v>0.6</v>
      </c>
      <c r="S405" s="177">
        <v>0.6</v>
      </c>
      <c r="T405" s="177">
        <v>0.6</v>
      </c>
      <c r="U405" s="177">
        <v>0.6</v>
      </c>
      <c r="V405" s="177">
        <v>0.6</v>
      </c>
      <c r="W405" s="177">
        <v>0.6</v>
      </c>
      <c r="X405" s="177">
        <v>0.6</v>
      </c>
      <c r="Y405" s="177">
        <v>0.6</v>
      </c>
      <c r="Z405" s="177">
        <v>0.6</v>
      </c>
      <c r="AA405" s="177">
        <v>0.6</v>
      </c>
      <c r="AB405" s="177">
        <v>0.6</v>
      </c>
      <c r="AC405" s="177">
        <v>0.6</v>
      </c>
      <c r="AD405" s="177">
        <v>0.6</v>
      </c>
      <c r="AE405" s="177">
        <v>0.6</v>
      </c>
      <c r="AF405" s="177">
        <v>0.6</v>
      </c>
      <c r="AG405" s="177">
        <v>0.6</v>
      </c>
      <c r="AH405" s="177">
        <v>0.6</v>
      </c>
      <c r="AI405" s="177">
        <v>0.6</v>
      </c>
      <c r="AJ405" s="177">
        <v>0.6</v>
      </c>
      <c r="AK405" s="177">
        <v>0.6</v>
      </c>
      <c r="AL405" s="177">
        <v>0.6</v>
      </c>
      <c r="AM405" s="177">
        <v>0.6</v>
      </c>
      <c r="AN405" s="15"/>
      <c r="AO405" s="15"/>
      <c r="AP405" s="15"/>
      <c r="AQ405" s="15"/>
      <c r="AR405" s="15"/>
      <c r="AS405" s="15"/>
      <c r="AT405" s="15"/>
      <c r="AU405" s="15"/>
      <c r="AV405" s="15"/>
    </row>
    <row r="406" ht="37.2" hidden="1" customHeight="1" spans="3:48">
      <c r="C406" s="214" t="s">
        <v>52</v>
      </c>
      <c r="D406" s="218"/>
      <c r="E406" s="218"/>
      <c r="F406" s="219"/>
      <c r="G406" s="220"/>
      <c r="H406" s="234" t="s">
        <v>109</v>
      </c>
      <c r="I406" s="227" t="e">
        <f>SUM(J406:HU406)</f>
        <v>#REF!</v>
      </c>
      <c r="J406" s="227" t="e">
        <f>SUMIFS(#REF!,#REF!,$C404&amp;J$319&amp;$D$404&amp;$G$404)</f>
        <v>#REF!</v>
      </c>
      <c r="K406" s="227" t="e">
        <f>SUMIFS(#REF!,#REF!,$C404&amp;K$319&amp;$D$404&amp;$G$404)</f>
        <v>#REF!</v>
      </c>
      <c r="L406" s="227" t="e">
        <f>SUMIFS(#REF!,#REF!,$C404&amp;L$319&amp;$D$404&amp;$G$404)</f>
        <v>#REF!</v>
      </c>
      <c r="M406" s="227" t="e">
        <f>SUMIFS(#REF!,#REF!,$C404&amp;M$319&amp;$D$404&amp;$G$404)</f>
        <v>#REF!</v>
      </c>
      <c r="N406" s="227" t="e">
        <f>SUMIFS(#REF!,#REF!,$C404&amp;N$319&amp;$D$404&amp;$G$404)</f>
        <v>#REF!</v>
      </c>
      <c r="O406" s="227" t="e">
        <f>SUMIFS(#REF!,#REF!,$C404&amp;O$319&amp;$D$404&amp;$G$404)</f>
        <v>#REF!</v>
      </c>
      <c r="P406" s="227" t="e">
        <f>SUMIFS(#REF!,#REF!,$C404&amp;P$319&amp;$D$404&amp;$G$404)</f>
        <v>#REF!</v>
      </c>
      <c r="Q406" s="227" t="e">
        <f>SUMIFS(#REF!,#REF!,$C404&amp;Q$319&amp;$D$404&amp;$G$404)</f>
        <v>#REF!</v>
      </c>
      <c r="R406" s="227" t="e">
        <f>SUMIFS(#REF!,#REF!,$C404&amp;R$319&amp;$D$404&amp;$G$404)</f>
        <v>#REF!</v>
      </c>
      <c r="S406" s="227" t="e">
        <f>SUMIFS(#REF!,#REF!,$C404&amp;S$319&amp;$D$404&amp;$G$404)</f>
        <v>#REF!</v>
      </c>
      <c r="T406" s="227" t="e">
        <f>SUMIFS(#REF!,#REF!,$C404&amp;T$319&amp;$D$404&amp;$G$404)</f>
        <v>#REF!</v>
      </c>
      <c r="U406" s="227" t="e">
        <f>SUMIFS(#REF!,#REF!,$C404&amp;U$319&amp;$D$404&amp;$G$404)</f>
        <v>#REF!</v>
      </c>
      <c r="V406" s="227" t="e">
        <f>SUMIFS(#REF!,#REF!,$C404&amp;V$319&amp;$D$404&amp;$G$404)</f>
        <v>#REF!</v>
      </c>
      <c r="W406" s="227" t="e">
        <f>SUMIFS(#REF!,#REF!,$C404&amp;W$319&amp;$D$404&amp;$G$404)</f>
        <v>#REF!</v>
      </c>
      <c r="X406" s="227" t="e">
        <f>SUMIFS(#REF!,#REF!,$C404&amp;X$319&amp;$D$404&amp;$G$404)</f>
        <v>#REF!</v>
      </c>
      <c r="Y406" s="227" t="e">
        <f>SUMIFS(#REF!,#REF!,$C404&amp;Y$319&amp;$D$404&amp;$G$404)</f>
        <v>#REF!</v>
      </c>
      <c r="Z406" s="227" t="e">
        <f>SUMIFS(#REF!,#REF!,$C404&amp;Z$319&amp;$D$404&amp;$G$404)</f>
        <v>#REF!</v>
      </c>
      <c r="AA406" s="227" t="e">
        <f>SUMIFS(#REF!,#REF!,$C404&amp;AA$319&amp;$D$404&amp;$G$404)</f>
        <v>#REF!</v>
      </c>
      <c r="AB406" s="227" t="e">
        <f>SUMIFS(#REF!,#REF!,$C404&amp;AB$319&amp;$D$404&amp;$G$404)</f>
        <v>#REF!</v>
      </c>
      <c r="AC406" s="227" t="e">
        <f>SUMIFS(#REF!,#REF!,$C404&amp;AC$319&amp;$D$404&amp;$G$404)</f>
        <v>#REF!</v>
      </c>
      <c r="AD406" s="227" t="e">
        <f>SUMIFS(#REF!,#REF!,$C404&amp;AD$319&amp;$D$404&amp;$G$404)</f>
        <v>#REF!</v>
      </c>
      <c r="AE406" s="227" t="e">
        <f>SUMIFS(#REF!,#REF!,$C404&amp;AE$319&amp;$D$404&amp;$G$404)</f>
        <v>#REF!</v>
      </c>
      <c r="AF406" s="227" t="e">
        <f>SUMIFS(#REF!,#REF!,$C404&amp;AF$319&amp;$D$404&amp;$G$404)</f>
        <v>#REF!</v>
      </c>
      <c r="AG406" s="227" t="e">
        <f>SUMIFS(#REF!,#REF!,$C404&amp;AG$319&amp;$D$404&amp;$G$404)</f>
        <v>#REF!</v>
      </c>
      <c r="AH406" s="227" t="e">
        <f>SUMIFS(#REF!,#REF!,$C404&amp;AH$319&amp;$D$404&amp;$G$404)</f>
        <v>#REF!</v>
      </c>
      <c r="AI406" s="227" t="e">
        <f>SUMIFS(#REF!,#REF!,$C404&amp;AI$319&amp;$D$404&amp;$G$404)</f>
        <v>#REF!</v>
      </c>
      <c r="AJ406" s="227" t="e">
        <f>SUMIFS(#REF!,#REF!,$C404&amp;AJ$319&amp;$D$404&amp;$G$404)</f>
        <v>#REF!</v>
      </c>
      <c r="AK406" s="227" t="e">
        <f>SUMIFS(#REF!,#REF!,$C404&amp;AK$319&amp;$D$404&amp;$G$404)</f>
        <v>#REF!</v>
      </c>
      <c r="AL406" s="227" t="e">
        <f>SUMIFS(#REF!,#REF!,$C404&amp;AL$319&amp;$D$404&amp;$G$404)</f>
        <v>#REF!</v>
      </c>
      <c r="AM406" s="227" t="e">
        <f>SUMIFS(#REF!,#REF!,$C404&amp;AM$319&amp;$D$404&amp;$G$404)</f>
        <v>#REF!</v>
      </c>
      <c r="AN406" s="15"/>
      <c r="AO406" s="15"/>
      <c r="AP406" s="15"/>
      <c r="AQ406" s="15"/>
      <c r="AR406" s="15"/>
      <c r="AS406" s="15"/>
      <c r="AT406" s="15"/>
      <c r="AU406" s="15"/>
      <c r="AV406" s="15"/>
    </row>
    <row r="407" s="5" customFormat="1" ht="37.2" hidden="1" customHeight="1" spans="3:48">
      <c r="C407" s="228" t="s">
        <v>52</v>
      </c>
      <c r="D407" s="229"/>
      <c r="E407" s="229"/>
      <c r="F407" s="230"/>
      <c r="G407" s="231"/>
      <c r="H407" s="232" t="s">
        <v>110</v>
      </c>
      <c r="I407" s="177">
        <f t="shared" ref="I407:AM407" si="168">IFERROR(I406/I$415,0)</f>
        <v>0</v>
      </c>
      <c r="J407" s="177">
        <f t="shared" si="168"/>
        <v>0</v>
      </c>
      <c r="K407" s="177">
        <f t="shared" si="168"/>
        <v>0</v>
      </c>
      <c r="L407" s="177">
        <f t="shared" si="168"/>
        <v>0</v>
      </c>
      <c r="M407" s="177">
        <f t="shared" si="168"/>
        <v>0</v>
      </c>
      <c r="N407" s="177">
        <f t="shared" si="168"/>
        <v>0</v>
      </c>
      <c r="O407" s="177">
        <f t="shared" si="168"/>
        <v>0</v>
      </c>
      <c r="P407" s="177">
        <f t="shared" si="168"/>
        <v>0</v>
      </c>
      <c r="Q407" s="177">
        <f t="shared" si="168"/>
        <v>0</v>
      </c>
      <c r="R407" s="177">
        <f t="shared" si="168"/>
        <v>0</v>
      </c>
      <c r="S407" s="177">
        <f t="shared" si="168"/>
        <v>0</v>
      </c>
      <c r="T407" s="177">
        <f t="shared" si="168"/>
        <v>0</v>
      </c>
      <c r="U407" s="177">
        <f t="shared" si="168"/>
        <v>0</v>
      </c>
      <c r="V407" s="177">
        <f t="shared" si="168"/>
        <v>0</v>
      </c>
      <c r="W407" s="177">
        <f t="shared" si="168"/>
        <v>0</v>
      </c>
      <c r="X407" s="177">
        <f t="shared" si="168"/>
        <v>0</v>
      </c>
      <c r="Y407" s="177">
        <f t="shared" si="168"/>
        <v>0</v>
      </c>
      <c r="Z407" s="177">
        <f t="shared" si="168"/>
        <v>0</v>
      </c>
      <c r="AA407" s="177">
        <f t="shared" si="168"/>
        <v>0</v>
      </c>
      <c r="AB407" s="177">
        <f t="shared" si="168"/>
        <v>0</v>
      </c>
      <c r="AC407" s="177">
        <f t="shared" si="168"/>
        <v>0</v>
      </c>
      <c r="AD407" s="177">
        <f t="shared" si="168"/>
        <v>0</v>
      </c>
      <c r="AE407" s="177">
        <f t="shared" si="168"/>
        <v>0</v>
      </c>
      <c r="AF407" s="177">
        <f t="shared" si="168"/>
        <v>0</v>
      </c>
      <c r="AG407" s="177">
        <f t="shared" si="168"/>
        <v>0</v>
      </c>
      <c r="AH407" s="177">
        <f t="shared" si="168"/>
        <v>0</v>
      </c>
      <c r="AI407" s="177">
        <f t="shared" si="168"/>
        <v>0</v>
      </c>
      <c r="AJ407" s="177">
        <f t="shared" si="168"/>
        <v>0</v>
      </c>
      <c r="AK407" s="177">
        <f t="shared" si="168"/>
        <v>0</v>
      </c>
      <c r="AL407" s="177">
        <f t="shared" si="168"/>
        <v>0</v>
      </c>
      <c r="AM407" s="177">
        <f t="shared" si="168"/>
        <v>0</v>
      </c>
    </row>
    <row r="408" s="5" customFormat="1" ht="37.2" hidden="1" customHeight="1" spans="3:48">
      <c r="C408" s="228" t="s">
        <v>52</v>
      </c>
      <c r="D408" s="229"/>
      <c r="E408" s="229"/>
      <c r="F408" s="230"/>
      <c r="G408" s="233"/>
      <c r="H408" s="232" t="s">
        <v>111</v>
      </c>
      <c r="I408" s="176">
        <f t="shared" ref="I408:AM408" si="169">IFERROR(I406/I404,0)</f>
        <v>0</v>
      </c>
      <c r="J408" s="176">
        <f t="shared" si="169"/>
        <v>0</v>
      </c>
      <c r="K408" s="176">
        <f t="shared" si="169"/>
        <v>0</v>
      </c>
      <c r="L408" s="176">
        <f t="shared" si="169"/>
        <v>0</v>
      </c>
      <c r="M408" s="176">
        <f t="shared" si="169"/>
        <v>0</v>
      </c>
      <c r="N408" s="176">
        <f t="shared" si="169"/>
        <v>0</v>
      </c>
      <c r="O408" s="176">
        <f t="shared" si="169"/>
        <v>0</v>
      </c>
      <c r="P408" s="176">
        <f t="shared" si="169"/>
        <v>0</v>
      </c>
      <c r="Q408" s="176">
        <f t="shared" si="169"/>
        <v>0</v>
      </c>
      <c r="R408" s="176">
        <f t="shared" si="169"/>
        <v>0</v>
      </c>
      <c r="S408" s="176">
        <f t="shared" si="169"/>
        <v>0</v>
      </c>
      <c r="T408" s="176">
        <f t="shared" si="169"/>
        <v>0</v>
      </c>
      <c r="U408" s="176">
        <f t="shared" si="169"/>
        <v>0</v>
      </c>
      <c r="V408" s="176">
        <f t="shared" si="169"/>
        <v>0</v>
      </c>
      <c r="W408" s="176">
        <f t="shared" si="169"/>
        <v>0</v>
      </c>
      <c r="X408" s="176">
        <f t="shared" si="169"/>
        <v>0</v>
      </c>
      <c r="Y408" s="176">
        <f t="shared" si="169"/>
        <v>0</v>
      </c>
      <c r="Z408" s="176">
        <f t="shared" si="169"/>
        <v>0</v>
      </c>
      <c r="AA408" s="176">
        <f t="shared" si="169"/>
        <v>0</v>
      </c>
      <c r="AB408" s="176">
        <f t="shared" si="169"/>
        <v>0</v>
      </c>
      <c r="AC408" s="176">
        <f t="shared" si="169"/>
        <v>0</v>
      </c>
      <c r="AD408" s="176">
        <f t="shared" si="169"/>
        <v>0</v>
      </c>
      <c r="AE408" s="176">
        <f t="shared" si="169"/>
        <v>0</v>
      </c>
      <c r="AF408" s="176">
        <f t="shared" si="169"/>
        <v>0</v>
      </c>
      <c r="AG408" s="176">
        <f t="shared" si="169"/>
        <v>0</v>
      </c>
      <c r="AH408" s="176">
        <f t="shared" si="169"/>
        <v>0</v>
      </c>
      <c r="AI408" s="176">
        <f t="shared" si="169"/>
        <v>0</v>
      </c>
      <c r="AJ408" s="176">
        <f t="shared" si="169"/>
        <v>0</v>
      </c>
      <c r="AK408" s="176">
        <f t="shared" si="169"/>
        <v>0</v>
      </c>
      <c r="AL408" s="176">
        <f t="shared" si="169"/>
        <v>0</v>
      </c>
      <c r="AM408" s="176">
        <f t="shared" si="169"/>
        <v>0</v>
      </c>
    </row>
    <row r="409" ht="37.2" hidden="1" customHeight="1" spans="3:48">
      <c r="C409" s="214" t="s">
        <v>52</v>
      </c>
      <c r="D409" s="218"/>
      <c r="E409" s="218"/>
      <c r="F409" s="218"/>
      <c r="G409" s="216" t="s">
        <v>112</v>
      </c>
      <c r="H409" s="217" t="s">
        <v>107</v>
      </c>
      <c r="I409" s="182">
        <f>SUM(J409:HU409)</f>
        <v>2342</v>
      </c>
      <c r="J409" s="182">
        <v>140</v>
      </c>
      <c r="K409" s="182">
        <v>70</v>
      </c>
      <c r="L409" s="182">
        <v>117</v>
      </c>
      <c r="M409" s="182">
        <v>70</v>
      </c>
      <c r="N409" s="182">
        <v>47</v>
      </c>
      <c r="O409" s="182">
        <v>47</v>
      </c>
      <c r="P409" s="182">
        <v>47</v>
      </c>
      <c r="Q409" s="182">
        <v>47</v>
      </c>
      <c r="R409" s="182">
        <v>47</v>
      </c>
      <c r="S409" s="182">
        <v>47</v>
      </c>
      <c r="T409" s="182">
        <v>47</v>
      </c>
      <c r="U409" s="182">
        <v>23</v>
      </c>
      <c r="V409" s="182">
        <v>70</v>
      </c>
      <c r="W409" s="182">
        <v>117</v>
      </c>
      <c r="X409" s="182">
        <v>164</v>
      </c>
      <c r="Y409" s="182">
        <v>187</v>
      </c>
      <c r="Z409" s="182">
        <v>187</v>
      </c>
      <c r="AA409" s="182">
        <v>234</v>
      </c>
      <c r="AB409" s="182">
        <v>70</v>
      </c>
      <c r="AC409" s="182">
        <v>94</v>
      </c>
      <c r="AD409" s="182">
        <v>47</v>
      </c>
      <c r="AE409" s="182">
        <v>47</v>
      </c>
      <c r="AF409" s="182">
        <v>47</v>
      </c>
      <c r="AG409" s="182">
        <v>47</v>
      </c>
      <c r="AH409" s="182">
        <v>47</v>
      </c>
      <c r="AI409" s="182">
        <v>47</v>
      </c>
      <c r="AJ409" s="182">
        <v>47</v>
      </c>
      <c r="AK409" s="182">
        <v>47</v>
      </c>
      <c r="AL409" s="182">
        <v>47</v>
      </c>
      <c r="AM409" s="182">
        <v>47</v>
      </c>
      <c r="AN409" s="15"/>
      <c r="AO409" s="15"/>
      <c r="AP409" s="15"/>
      <c r="AQ409" s="15"/>
      <c r="AR409" s="15"/>
      <c r="AS409" s="15"/>
      <c r="AT409" s="15"/>
      <c r="AU409" s="15"/>
      <c r="AV409" s="15"/>
    </row>
    <row r="410" ht="37.2" hidden="1" customHeight="1" spans="3:48">
      <c r="C410" s="214" t="s">
        <v>52</v>
      </c>
      <c r="D410" s="218"/>
      <c r="E410" s="218"/>
      <c r="F410" s="219"/>
      <c r="G410" s="220"/>
      <c r="H410" s="221" t="s">
        <v>108</v>
      </c>
      <c r="I410" s="177">
        <v>0.4</v>
      </c>
      <c r="J410" s="177">
        <v>0.4</v>
      </c>
      <c r="K410" s="177">
        <v>0.4</v>
      </c>
      <c r="L410" s="177">
        <v>0.4</v>
      </c>
      <c r="M410" s="177">
        <v>0.4</v>
      </c>
      <c r="N410" s="177">
        <v>0.4</v>
      </c>
      <c r="O410" s="177">
        <v>0.4</v>
      </c>
      <c r="P410" s="177">
        <v>0.4</v>
      </c>
      <c r="Q410" s="177">
        <v>0.4</v>
      </c>
      <c r="R410" s="177">
        <v>0.4</v>
      </c>
      <c r="S410" s="177">
        <v>0.4</v>
      </c>
      <c r="T410" s="177">
        <v>0.4</v>
      </c>
      <c r="U410" s="177">
        <v>0.4</v>
      </c>
      <c r="V410" s="177">
        <v>0.4</v>
      </c>
      <c r="W410" s="177">
        <v>0.4</v>
      </c>
      <c r="X410" s="177">
        <v>0.4</v>
      </c>
      <c r="Y410" s="177">
        <v>0.4</v>
      </c>
      <c r="Z410" s="177">
        <v>0.4</v>
      </c>
      <c r="AA410" s="177">
        <v>0.4</v>
      </c>
      <c r="AB410" s="177">
        <v>0.4</v>
      </c>
      <c r="AC410" s="177">
        <v>0.4</v>
      </c>
      <c r="AD410" s="177">
        <v>0.4</v>
      </c>
      <c r="AE410" s="177">
        <v>0.4</v>
      </c>
      <c r="AF410" s="177">
        <v>0.4</v>
      </c>
      <c r="AG410" s="177">
        <v>0.4</v>
      </c>
      <c r="AH410" s="177">
        <v>0.4</v>
      </c>
      <c r="AI410" s="177">
        <v>0.4</v>
      </c>
      <c r="AJ410" s="177">
        <v>0.4</v>
      </c>
      <c r="AK410" s="177">
        <v>0.4</v>
      </c>
      <c r="AL410" s="177">
        <v>0.4</v>
      </c>
      <c r="AM410" s="177">
        <v>0.4</v>
      </c>
      <c r="AN410" s="15"/>
      <c r="AO410" s="15"/>
      <c r="AP410" s="15"/>
      <c r="AQ410" s="15"/>
      <c r="AR410" s="15"/>
      <c r="AS410" s="15"/>
      <c r="AT410" s="15"/>
      <c r="AU410" s="15"/>
      <c r="AV410" s="15"/>
    </row>
    <row r="411" ht="37.2" hidden="1" customHeight="1" spans="3:48">
      <c r="C411" s="214" t="s">
        <v>52</v>
      </c>
      <c r="D411" s="218"/>
      <c r="E411" s="218"/>
      <c r="F411" s="219"/>
      <c r="G411" s="220"/>
      <c r="H411" s="234" t="s">
        <v>109</v>
      </c>
      <c r="I411" s="227" t="e">
        <f>SUM(J411:HU411)</f>
        <v>#REF!</v>
      </c>
      <c r="J411" s="227" t="e">
        <f>SUMIFS(#REF!,#REF!,$C409&amp;J$319&amp;$D$404&amp;$G$409)</f>
        <v>#REF!</v>
      </c>
      <c r="K411" s="227" t="e">
        <f>SUMIFS(#REF!,#REF!,$C409&amp;K$319&amp;$D$404&amp;$G$409)</f>
        <v>#REF!</v>
      </c>
      <c r="L411" s="227" t="e">
        <f>SUMIFS(#REF!,#REF!,$C409&amp;L$319&amp;$D$404&amp;$G$409)</f>
        <v>#REF!</v>
      </c>
      <c r="M411" s="227" t="e">
        <f>SUMIFS(#REF!,#REF!,$C409&amp;M$319&amp;$D$404&amp;$G$409)</f>
        <v>#REF!</v>
      </c>
      <c r="N411" s="227" t="e">
        <f>SUMIFS(#REF!,#REF!,$C409&amp;N$319&amp;$D$404&amp;$G$409)</f>
        <v>#REF!</v>
      </c>
      <c r="O411" s="227" t="e">
        <f>SUMIFS(#REF!,#REF!,$C409&amp;O$319&amp;$D$404&amp;$G$409)</f>
        <v>#REF!</v>
      </c>
      <c r="P411" s="227" t="e">
        <f>SUMIFS(#REF!,#REF!,$C409&amp;P$319&amp;$D$404&amp;$G$409)</f>
        <v>#REF!</v>
      </c>
      <c r="Q411" s="227" t="e">
        <f>SUMIFS(#REF!,#REF!,$C409&amp;Q$319&amp;$D$404&amp;$G$409)</f>
        <v>#REF!</v>
      </c>
      <c r="R411" s="227" t="e">
        <f>SUMIFS(#REF!,#REF!,$C409&amp;R$319&amp;$D$404&amp;$G$409)</f>
        <v>#REF!</v>
      </c>
      <c r="S411" s="227" t="e">
        <f>SUMIFS(#REF!,#REF!,$C409&amp;S$319&amp;$D$404&amp;$G$409)</f>
        <v>#REF!</v>
      </c>
      <c r="T411" s="227" t="e">
        <f>SUMIFS(#REF!,#REF!,$C409&amp;T$319&amp;$D$404&amp;$G$409)</f>
        <v>#REF!</v>
      </c>
      <c r="U411" s="227" t="e">
        <f>SUMIFS(#REF!,#REF!,$C409&amp;U$319&amp;$D$404&amp;$G$409)</f>
        <v>#REF!</v>
      </c>
      <c r="V411" s="227" t="e">
        <f>SUMIFS(#REF!,#REF!,$C409&amp;V$319&amp;$D$404&amp;$G$409)</f>
        <v>#REF!</v>
      </c>
      <c r="W411" s="227" t="e">
        <f>SUMIFS(#REF!,#REF!,$C409&amp;W$319&amp;$D$404&amp;$G$409)</f>
        <v>#REF!</v>
      </c>
      <c r="X411" s="227" t="e">
        <f>SUMIFS(#REF!,#REF!,$C409&amp;X$319&amp;$D$404&amp;$G$409)</f>
        <v>#REF!</v>
      </c>
      <c r="Y411" s="227" t="e">
        <f>SUMIFS(#REF!,#REF!,$C409&amp;Y$319&amp;$D$404&amp;$G$409)</f>
        <v>#REF!</v>
      </c>
      <c r="Z411" s="227" t="e">
        <f>SUMIFS(#REF!,#REF!,$C409&amp;Z$319&amp;$D$404&amp;$G$409)</f>
        <v>#REF!</v>
      </c>
      <c r="AA411" s="227" t="e">
        <f>SUMIFS(#REF!,#REF!,$C409&amp;AA$319&amp;$D$404&amp;$G$409)</f>
        <v>#REF!</v>
      </c>
      <c r="AB411" s="227" t="e">
        <f>SUMIFS(#REF!,#REF!,$C409&amp;AB$319&amp;$D$404&amp;$G$409)</f>
        <v>#REF!</v>
      </c>
      <c r="AC411" s="227" t="e">
        <f>SUMIFS(#REF!,#REF!,$C409&amp;AC$319&amp;$D$404&amp;$G$409)</f>
        <v>#REF!</v>
      </c>
      <c r="AD411" s="227" t="e">
        <f>SUMIFS(#REF!,#REF!,$C409&amp;AD$319&amp;$D$404&amp;$G$409)</f>
        <v>#REF!</v>
      </c>
      <c r="AE411" s="227" t="e">
        <f>SUMIFS(#REF!,#REF!,$C409&amp;AE$319&amp;$D$404&amp;$G$409)</f>
        <v>#REF!</v>
      </c>
      <c r="AF411" s="227" t="e">
        <f>SUMIFS(#REF!,#REF!,$C409&amp;AF$319&amp;$D$404&amp;$G$409)</f>
        <v>#REF!</v>
      </c>
      <c r="AG411" s="227" t="e">
        <f>SUMIFS(#REF!,#REF!,$C409&amp;AG$319&amp;$D$404&amp;$G$409)</f>
        <v>#REF!</v>
      </c>
      <c r="AH411" s="227" t="e">
        <f>SUMIFS(#REF!,#REF!,$C409&amp;AH$319&amp;$D$404&amp;$G$409)</f>
        <v>#REF!</v>
      </c>
      <c r="AI411" s="227" t="e">
        <f>SUMIFS(#REF!,#REF!,$C409&amp;AI$319&amp;$D$404&amp;$G$409)</f>
        <v>#REF!</v>
      </c>
      <c r="AJ411" s="227" t="e">
        <f>SUMIFS(#REF!,#REF!,$C409&amp;AJ$319&amp;$D$404&amp;$G$409)</f>
        <v>#REF!</v>
      </c>
      <c r="AK411" s="227" t="e">
        <f>SUMIFS(#REF!,#REF!,$C409&amp;AK$319&amp;$D$404&amp;$G$409)</f>
        <v>#REF!</v>
      </c>
      <c r="AL411" s="227" t="e">
        <f>SUMIFS(#REF!,#REF!,$C409&amp;AL$319&amp;$D$404&amp;$G$409)</f>
        <v>#REF!</v>
      </c>
      <c r="AM411" s="227" t="e">
        <f>SUMIFS(#REF!,#REF!,$C409&amp;AM$319&amp;$D$404&amp;$G$409)</f>
        <v>#REF!</v>
      </c>
      <c r="AN411" s="15"/>
      <c r="AO411" s="15"/>
      <c r="AP411" s="15"/>
      <c r="AQ411" s="15"/>
      <c r="AR411" s="15"/>
      <c r="AS411" s="15"/>
      <c r="AT411" s="15"/>
      <c r="AU411" s="15"/>
      <c r="AV411" s="15"/>
    </row>
    <row r="412" s="5" customFormat="1" ht="37.2" hidden="1" customHeight="1" spans="3:48">
      <c r="C412" s="228" t="s">
        <v>52</v>
      </c>
      <c r="D412" s="229"/>
      <c r="E412" s="229"/>
      <c r="F412" s="230"/>
      <c r="G412" s="231"/>
      <c r="H412" s="232" t="s">
        <v>110</v>
      </c>
      <c r="I412" s="177">
        <f t="shared" ref="I412:AM412" si="170">IFERROR(I411/I$415,0)</f>
        <v>0</v>
      </c>
      <c r="J412" s="177">
        <f t="shared" si="170"/>
        <v>0</v>
      </c>
      <c r="K412" s="177">
        <f t="shared" si="170"/>
        <v>0</v>
      </c>
      <c r="L412" s="177">
        <f t="shared" si="170"/>
        <v>0</v>
      </c>
      <c r="M412" s="177">
        <f t="shared" si="170"/>
        <v>0</v>
      </c>
      <c r="N412" s="177">
        <f t="shared" si="170"/>
        <v>0</v>
      </c>
      <c r="O412" s="177">
        <f t="shared" si="170"/>
        <v>0</v>
      </c>
      <c r="P412" s="177">
        <f t="shared" si="170"/>
        <v>0</v>
      </c>
      <c r="Q412" s="177">
        <f t="shared" si="170"/>
        <v>0</v>
      </c>
      <c r="R412" s="177">
        <f t="shared" si="170"/>
        <v>0</v>
      </c>
      <c r="S412" s="177">
        <f t="shared" si="170"/>
        <v>0</v>
      </c>
      <c r="T412" s="177">
        <f t="shared" si="170"/>
        <v>0</v>
      </c>
      <c r="U412" s="177">
        <f t="shared" si="170"/>
        <v>0</v>
      </c>
      <c r="V412" s="177">
        <f t="shared" si="170"/>
        <v>0</v>
      </c>
      <c r="W412" s="177">
        <f t="shared" si="170"/>
        <v>0</v>
      </c>
      <c r="X412" s="177">
        <f t="shared" si="170"/>
        <v>0</v>
      </c>
      <c r="Y412" s="177">
        <f t="shared" si="170"/>
        <v>0</v>
      </c>
      <c r="Z412" s="177">
        <f t="shared" si="170"/>
        <v>0</v>
      </c>
      <c r="AA412" s="177">
        <f t="shared" si="170"/>
        <v>0</v>
      </c>
      <c r="AB412" s="177">
        <f t="shared" si="170"/>
        <v>0</v>
      </c>
      <c r="AC412" s="177">
        <f t="shared" si="170"/>
        <v>0</v>
      </c>
      <c r="AD412" s="177">
        <f t="shared" si="170"/>
        <v>0</v>
      </c>
      <c r="AE412" s="177">
        <f t="shared" si="170"/>
        <v>0</v>
      </c>
      <c r="AF412" s="177">
        <f t="shared" si="170"/>
        <v>0</v>
      </c>
      <c r="AG412" s="177">
        <f t="shared" si="170"/>
        <v>0</v>
      </c>
      <c r="AH412" s="177">
        <f t="shared" si="170"/>
        <v>0</v>
      </c>
      <c r="AI412" s="177">
        <f t="shared" si="170"/>
        <v>0</v>
      </c>
      <c r="AJ412" s="177">
        <f t="shared" si="170"/>
        <v>0</v>
      </c>
      <c r="AK412" s="177">
        <f t="shared" si="170"/>
        <v>0</v>
      </c>
      <c r="AL412" s="177">
        <f t="shared" si="170"/>
        <v>0</v>
      </c>
      <c r="AM412" s="177">
        <f t="shared" si="170"/>
        <v>0</v>
      </c>
    </row>
    <row r="413" s="5" customFormat="1" ht="37.2" hidden="1" customHeight="1" spans="3:48">
      <c r="C413" s="228" t="s">
        <v>52</v>
      </c>
      <c r="D413" s="229"/>
      <c r="E413" s="229"/>
      <c r="F413" s="230"/>
      <c r="G413" s="233"/>
      <c r="H413" s="232" t="s">
        <v>111</v>
      </c>
      <c r="I413" s="176">
        <f t="shared" ref="I413:AM413" si="171">IFERROR(I411/I409,0)</f>
        <v>0</v>
      </c>
      <c r="J413" s="176">
        <f t="shared" si="171"/>
        <v>0</v>
      </c>
      <c r="K413" s="176">
        <f t="shared" si="171"/>
        <v>0</v>
      </c>
      <c r="L413" s="176">
        <f t="shared" si="171"/>
        <v>0</v>
      </c>
      <c r="M413" s="176">
        <f t="shared" si="171"/>
        <v>0</v>
      </c>
      <c r="N413" s="176">
        <f t="shared" si="171"/>
        <v>0</v>
      </c>
      <c r="O413" s="176">
        <f t="shared" si="171"/>
        <v>0</v>
      </c>
      <c r="P413" s="176">
        <f t="shared" si="171"/>
        <v>0</v>
      </c>
      <c r="Q413" s="176">
        <f t="shared" si="171"/>
        <v>0</v>
      </c>
      <c r="R413" s="176">
        <f t="shared" si="171"/>
        <v>0</v>
      </c>
      <c r="S413" s="176">
        <f t="shared" si="171"/>
        <v>0</v>
      </c>
      <c r="T413" s="176">
        <f t="shared" si="171"/>
        <v>0</v>
      </c>
      <c r="U413" s="176">
        <f t="shared" si="171"/>
        <v>0</v>
      </c>
      <c r="V413" s="176">
        <f t="shared" si="171"/>
        <v>0</v>
      </c>
      <c r="W413" s="176">
        <f t="shared" si="171"/>
        <v>0</v>
      </c>
      <c r="X413" s="176">
        <f t="shared" si="171"/>
        <v>0</v>
      </c>
      <c r="Y413" s="176">
        <f t="shared" si="171"/>
        <v>0</v>
      </c>
      <c r="Z413" s="176">
        <f t="shared" si="171"/>
        <v>0</v>
      </c>
      <c r="AA413" s="176">
        <f t="shared" si="171"/>
        <v>0</v>
      </c>
      <c r="AB413" s="176">
        <f t="shared" si="171"/>
        <v>0</v>
      </c>
      <c r="AC413" s="176">
        <f t="shared" si="171"/>
        <v>0</v>
      </c>
      <c r="AD413" s="176">
        <f t="shared" si="171"/>
        <v>0</v>
      </c>
      <c r="AE413" s="176">
        <f t="shared" si="171"/>
        <v>0</v>
      </c>
      <c r="AF413" s="176">
        <f t="shared" si="171"/>
        <v>0</v>
      </c>
      <c r="AG413" s="176">
        <f t="shared" si="171"/>
        <v>0</v>
      </c>
      <c r="AH413" s="176">
        <f t="shared" si="171"/>
        <v>0</v>
      </c>
      <c r="AI413" s="176">
        <f t="shared" si="171"/>
        <v>0</v>
      </c>
      <c r="AJ413" s="176">
        <f t="shared" si="171"/>
        <v>0</v>
      </c>
      <c r="AK413" s="176">
        <f t="shared" si="171"/>
        <v>0</v>
      </c>
      <c r="AL413" s="176">
        <f t="shared" si="171"/>
        <v>0</v>
      </c>
      <c r="AM413" s="176">
        <f t="shared" si="171"/>
        <v>0</v>
      </c>
    </row>
    <row r="414" ht="37.2" hidden="1" customHeight="1" spans="3:48">
      <c r="C414" s="214" t="s">
        <v>52</v>
      </c>
      <c r="D414" s="218"/>
      <c r="E414" s="218"/>
      <c r="F414" s="218"/>
      <c r="G414" s="216" t="s">
        <v>38</v>
      </c>
      <c r="H414" s="217" t="s">
        <v>107</v>
      </c>
      <c r="I414" s="182">
        <f>SUM(J414:HU414)</f>
        <v>5852</v>
      </c>
      <c r="J414" s="182">
        <v>354</v>
      </c>
      <c r="K414" s="182">
        <v>175</v>
      </c>
      <c r="L414" s="182">
        <v>293</v>
      </c>
      <c r="M414" s="182">
        <v>175</v>
      </c>
      <c r="N414" s="182">
        <v>117</v>
      </c>
      <c r="O414" s="182">
        <v>117</v>
      </c>
      <c r="P414" s="182">
        <v>117</v>
      </c>
      <c r="Q414" s="182">
        <v>117</v>
      </c>
      <c r="R414" s="182">
        <v>117</v>
      </c>
      <c r="S414" s="182">
        <v>117</v>
      </c>
      <c r="T414" s="182">
        <v>117</v>
      </c>
      <c r="U414" s="182">
        <v>58</v>
      </c>
      <c r="V414" s="182">
        <v>175</v>
      </c>
      <c r="W414" s="182">
        <v>293</v>
      </c>
      <c r="X414" s="182">
        <v>410</v>
      </c>
      <c r="Y414" s="182">
        <v>468</v>
      </c>
      <c r="Z414" s="182">
        <v>468</v>
      </c>
      <c r="AA414" s="182">
        <v>585</v>
      </c>
      <c r="AB414" s="182">
        <v>175</v>
      </c>
      <c r="AC414" s="182">
        <v>234</v>
      </c>
      <c r="AD414" s="182">
        <v>117</v>
      </c>
      <c r="AE414" s="182">
        <v>117</v>
      </c>
      <c r="AF414" s="182">
        <v>117</v>
      </c>
      <c r="AG414" s="182">
        <v>117</v>
      </c>
      <c r="AH414" s="182">
        <v>117</v>
      </c>
      <c r="AI414" s="182">
        <v>117</v>
      </c>
      <c r="AJ414" s="182">
        <v>117</v>
      </c>
      <c r="AK414" s="182">
        <v>117</v>
      </c>
      <c r="AL414" s="182">
        <v>117</v>
      </c>
      <c r="AM414" s="182">
        <v>117</v>
      </c>
      <c r="AN414" s="11"/>
      <c r="AO414" s="15"/>
      <c r="AP414" s="15"/>
      <c r="AQ414" s="15"/>
      <c r="AR414" s="15"/>
      <c r="AS414" s="15"/>
      <c r="AT414" s="15"/>
      <c r="AU414" s="15"/>
      <c r="AV414" s="15"/>
    </row>
    <row r="415" ht="37.2" hidden="1" customHeight="1" spans="3:48">
      <c r="C415" s="214" t="s">
        <v>52</v>
      </c>
      <c r="D415" s="218"/>
      <c r="E415" s="218"/>
      <c r="F415" s="219"/>
      <c r="G415" s="220"/>
      <c r="H415" s="234" t="s">
        <v>109</v>
      </c>
      <c r="I415" s="227" t="e">
        <f>SUM(J415:HU415)</f>
        <v>#REF!</v>
      </c>
      <c r="J415" s="235" t="e">
        <f t="shared" ref="J415:AM415" si="172">J406+J411</f>
        <v>#REF!</v>
      </c>
      <c r="K415" s="235" t="e">
        <f t="shared" si="172"/>
        <v>#REF!</v>
      </c>
      <c r="L415" s="235" t="e">
        <f t="shared" si="172"/>
        <v>#REF!</v>
      </c>
      <c r="M415" s="235" t="e">
        <f t="shared" si="172"/>
        <v>#REF!</v>
      </c>
      <c r="N415" s="235" t="e">
        <f t="shared" si="172"/>
        <v>#REF!</v>
      </c>
      <c r="O415" s="235" t="e">
        <f t="shared" si="172"/>
        <v>#REF!</v>
      </c>
      <c r="P415" s="235" t="e">
        <f t="shared" si="172"/>
        <v>#REF!</v>
      </c>
      <c r="Q415" s="235" t="e">
        <f t="shared" si="172"/>
        <v>#REF!</v>
      </c>
      <c r="R415" s="235" t="e">
        <f t="shared" si="172"/>
        <v>#REF!</v>
      </c>
      <c r="S415" s="235" t="e">
        <f t="shared" si="172"/>
        <v>#REF!</v>
      </c>
      <c r="T415" s="235" t="e">
        <f t="shared" si="172"/>
        <v>#REF!</v>
      </c>
      <c r="U415" s="235" t="e">
        <f t="shared" si="172"/>
        <v>#REF!</v>
      </c>
      <c r="V415" s="235" t="e">
        <f t="shared" si="172"/>
        <v>#REF!</v>
      </c>
      <c r="W415" s="235" t="e">
        <f t="shared" si="172"/>
        <v>#REF!</v>
      </c>
      <c r="X415" s="235" t="e">
        <f t="shared" si="172"/>
        <v>#REF!</v>
      </c>
      <c r="Y415" s="235" t="e">
        <f t="shared" si="172"/>
        <v>#REF!</v>
      </c>
      <c r="Z415" s="235" t="e">
        <f t="shared" si="172"/>
        <v>#REF!</v>
      </c>
      <c r="AA415" s="235" t="e">
        <f t="shared" si="172"/>
        <v>#REF!</v>
      </c>
      <c r="AB415" s="235" t="e">
        <f t="shared" si="172"/>
        <v>#REF!</v>
      </c>
      <c r="AC415" s="235" t="e">
        <f t="shared" si="172"/>
        <v>#REF!</v>
      </c>
      <c r="AD415" s="235" t="e">
        <f t="shared" si="172"/>
        <v>#REF!</v>
      </c>
      <c r="AE415" s="235" t="e">
        <f t="shared" si="172"/>
        <v>#REF!</v>
      </c>
      <c r="AF415" s="235" t="e">
        <f t="shared" si="172"/>
        <v>#REF!</v>
      </c>
      <c r="AG415" s="235" t="e">
        <f t="shared" si="172"/>
        <v>#REF!</v>
      </c>
      <c r="AH415" s="235" t="e">
        <f t="shared" si="172"/>
        <v>#REF!</v>
      </c>
      <c r="AI415" s="235" t="e">
        <f t="shared" si="172"/>
        <v>#REF!</v>
      </c>
      <c r="AJ415" s="235" t="e">
        <f t="shared" si="172"/>
        <v>#REF!</v>
      </c>
      <c r="AK415" s="235" t="e">
        <f t="shared" si="172"/>
        <v>#REF!</v>
      </c>
      <c r="AL415" s="235" t="e">
        <f t="shared" si="172"/>
        <v>#REF!</v>
      </c>
      <c r="AM415" s="235" t="e">
        <f t="shared" si="172"/>
        <v>#REF!</v>
      </c>
      <c r="AN415" s="15"/>
      <c r="AO415" s="15"/>
      <c r="AP415" s="15"/>
      <c r="AQ415" s="15"/>
      <c r="AR415" s="15"/>
      <c r="AS415" s="15"/>
      <c r="AT415" s="15"/>
      <c r="AU415" s="15"/>
      <c r="AV415" s="15"/>
    </row>
    <row r="416" s="5" customFormat="1" ht="37.2" hidden="1" customHeight="1" spans="3:48">
      <c r="C416" s="228" t="s">
        <v>52</v>
      </c>
      <c r="D416" s="236"/>
      <c r="E416" s="236"/>
      <c r="F416" s="237"/>
      <c r="G416" s="233"/>
      <c r="H416" s="232" t="s">
        <v>111</v>
      </c>
      <c r="I416" s="176">
        <f t="shared" ref="I416:AM416" si="173">IFERROR(I415/I414,0)</f>
        <v>0</v>
      </c>
      <c r="J416" s="176">
        <f t="shared" si="173"/>
        <v>0</v>
      </c>
      <c r="K416" s="176">
        <f t="shared" si="173"/>
        <v>0</v>
      </c>
      <c r="L416" s="176">
        <f t="shared" si="173"/>
        <v>0</v>
      </c>
      <c r="M416" s="176">
        <f t="shared" si="173"/>
        <v>0</v>
      </c>
      <c r="N416" s="176">
        <f t="shared" si="173"/>
        <v>0</v>
      </c>
      <c r="O416" s="176">
        <f t="shared" si="173"/>
        <v>0</v>
      </c>
      <c r="P416" s="176">
        <f t="shared" si="173"/>
        <v>0</v>
      </c>
      <c r="Q416" s="176">
        <f t="shared" si="173"/>
        <v>0</v>
      </c>
      <c r="R416" s="176">
        <f t="shared" si="173"/>
        <v>0</v>
      </c>
      <c r="S416" s="176">
        <f t="shared" si="173"/>
        <v>0</v>
      </c>
      <c r="T416" s="176">
        <f t="shared" si="173"/>
        <v>0</v>
      </c>
      <c r="U416" s="176">
        <f t="shared" si="173"/>
        <v>0</v>
      </c>
      <c r="V416" s="176">
        <f t="shared" si="173"/>
        <v>0</v>
      </c>
      <c r="W416" s="176">
        <f t="shared" si="173"/>
        <v>0</v>
      </c>
      <c r="X416" s="176">
        <f t="shared" si="173"/>
        <v>0</v>
      </c>
      <c r="Y416" s="176">
        <f t="shared" si="173"/>
        <v>0</v>
      </c>
      <c r="Z416" s="176">
        <f t="shared" si="173"/>
        <v>0</v>
      </c>
      <c r="AA416" s="176">
        <f t="shared" si="173"/>
        <v>0</v>
      </c>
      <c r="AB416" s="176">
        <f t="shared" si="173"/>
        <v>0</v>
      </c>
      <c r="AC416" s="176">
        <f t="shared" si="173"/>
        <v>0</v>
      </c>
      <c r="AD416" s="176">
        <f t="shared" si="173"/>
        <v>0</v>
      </c>
      <c r="AE416" s="176">
        <f t="shared" si="173"/>
        <v>0</v>
      </c>
      <c r="AF416" s="176">
        <f t="shared" si="173"/>
        <v>0</v>
      </c>
      <c r="AG416" s="176">
        <f t="shared" si="173"/>
        <v>0</v>
      </c>
      <c r="AH416" s="176">
        <f t="shared" si="173"/>
        <v>0</v>
      </c>
      <c r="AI416" s="176">
        <f t="shared" si="173"/>
        <v>0</v>
      </c>
      <c r="AJ416" s="176">
        <f t="shared" si="173"/>
        <v>0</v>
      </c>
      <c r="AK416" s="176">
        <f t="shared" si="173"/>
        <v>0</v>
      </c>
      <c r="AL416" s="176">
        <f t="shared" si="173"/>
        <v>0</v>
      </c>
      <c r="AM416" s="176">
        <f t="shared" si="173"/>
        <v>0</v>
      </c>
    </row>
    <row r="417" ht="37.2" hidden="1" customHeight="1" spans="3:48">
      <c r="C417" s="214" t="s">
        <v>52</v>
      </c>
      <c r="D417" s="215" t="s">
        <v>87</v>
      </c>
      <c r="E417" s="215">
        <v>0.29</v>
      </c>
      <c r="F417" s="215" t="e">
        <f>I433/$I$477</f>
        <v>#REF!</v>
      </c>
      <c r="G417" s="216" t="s">
        <v>106</v>
      </c>
      <c r="H417" s="217" t="s">
        <v>107</v>
      </c>
      <c r="I417" s="182">
        <f>SUM(J417:HU417)</f>
        <v>16954</v>
      </c>
      <c r="J417" s="182">
        <v>1011</v>
      </c>
      <c r="K417" s="182">
        <v>509</v>
      </c>
      <c r="L417" s="182">
        <v>848</v>
      </c>
      <c r="M417" s="182">
        <v>509</v>
      </c>
      <c r="N417" s="182">
        <v>339</v>
      </c>
      <c r="O417" s="182">
        <v>339</v>
      </c>
      <c r="P417" s="182">
        <v>339</v>
      </c>
      <c r="Q417" s="182">
        <v>339</v>
      </c>
      <c r="R417" s="182">
        <v>339</v>
      </c>
      <c r="S417" s="182">
        <v>339</v>
      </c>
      <c r="T417" s="182">
        <v>339</v>
      </c>
      <c r="U417" s="182">
        <v>170</v>
      </c>
      <c r="V417" s="182">
        <v>509</v>
      </c>
      <c r="W417" s="182">
        <v>848</v>
      </c>
      <c r="X417" s="182">
        <v>1188</v>
      </c>
      <c r="Y417" s="182">
        <v>1357</v>
      </c>
      <c r="Z417" s="182">
        <v>1357</v>
      </c>
      <c r="AA417" s="182">
        <v>1697</v>
      </c>
      <c r="AB417" s="182">
        <v>509</v>
      </c>
      <c r="AC417" s="182">
        <v>679</v>
      </c>
      <c r="AD417" s="182">
        <v>339</v>
      </c>
      <c r="AE417" s="182">
        <v>339</v>
      </c>
      <c r="AF417" s="182">
        <v>339</v>
      </c>
      <c r="AG417" s="182">
        <v>339</v>
      </c>
      <c r="AH417" s="182">
        <v>339</v>
      </c>
      <c r="AI417" s="182">
        <v>339</v>
      </c>
      <c r="AJ417" s="182">
        <v>339</v>
      </c>
      <c r="AK417" s="182">
        <v>339</v>
      </c>
      <c r="AL417" s="182">
        <v>339</v>
      </c>
      <c r="AM417" s="182">
        <v>339</v>
      </c>
      <c r="AN417" s="11"/>
      <c r="AO417" s="15"/>
      <c r="AP417" s="15"/>
      <c r="AQ417" s="15"/>
      <c r="AR417" s="15"/>
      <c r="AS417" s="15"/>
      <c r="AT417" s="15"/>
      <c r="AU417" s="15"/>
      <c r="AV417" s="15"/>
    </row>
    <row r="418" ht="37.2" hidden="1" customHeight="1" spans="3:48">
      <c r="C418" s="214" t="s">
        <v>52</v>
      </c>
      <c r="D418" s="218"/>
      <c r="E418" s="218"/>
      <c r="F418" s="219"/>
      <c r="G418" s="220"/>
      <c r="H418" s="221" t="s">
        <v>108</v>
      </c>
      <c r="I418" s="177">
        <v>0.5</v>
      </c>
      <c r="J418" s="177">
        <v>0.5</v>
      </c>
      <c r="K418" s="177">
        <v>0.5</v>
      </c>
      <c r="L418" s="177">
        <v>0.5</v>
      </c>
      <c r="M418" s="177">
        <v>0.5</v>
      </c>
      <c r="N418" s="177">
        <v>0.5</v>
      </c>
      <c r="O418" s="177">
        <v>0.5</v>
      </c>
      <c r="P418" s="177">
        <v>0.5</v>
      </c>
      <c r="Q418" s="177">
        <v>0.5</v>
      </c>
      <c r="R418" s="177">
        <v>0.5</v>
      </c>
      <c r="S418" s="177">
        <v>0.5</v>
      </c>
      <c r="T418" s="177">
        <v>0.5</v>
      </c>
      <c r="U418" s="177">
        <v>0.5</v>
      </c>
      <c r="V418" s="177">
        <v>0.5</v>
      </c>
      <c r="W418" s="177">
        <v>0.5</v>
      </c>
      <c r="X418" s="177">
        <v>0.5</v>
      </c>
      <c r="Y418" s="177">
        <v>0.5</v>
      </c>
      <c r="Z418" s="177">
        <v>0.5</v>
      </c>
      <c r="AA418" s="177">
        <v>0.5</v>
      </c>
      <c r="AB418" s="177">
        <v>0.5</v>
      </c>
      <c r="AC418" s="177">
        <v>0.5</v>
      </c>
      <c r="AD418" s="177">
        <v>0.5</v>
      </c>
      <c r="AE418" s="177">
        <v>0.5</v>
      </c>
      <c r="AF418" s="177">
        <v>0.5</v>
      </c>
      <c r="AG418" s="177">
        <v>0.5</v>
      </c>
      <c r="AH418" s="177">
        <v>0.5</v>
      </c>
      <c r="AI418" s="177">
        <v>0.5</v>
      </c>
      <c r="AJ418" s="177">
        <v>0.5</v>
      </c>
      <c r="AK418" s="177">
        <v>0.5</v>
      </c>
      <c r="AL418" s="177">
        <v>0.5</v>
      </c>
      <c r="AM418" s="177">
        <v>0.5</v>
      </c>
      <c r="AN418" s="15"/>
      <c r="AO418" s="15"/>
      <c r="AP418" s="15"/>
      <c r="AQ418" s="15"/>
      <c r="AR418" s="15"/>
      <c r="AS418" s="15"/>
      <c r="AT418" s="15"/>
      <c r="AU418" s="15"/>
      <c r="AV418" s="15"/>
    </row>
    <row r="419" ht="37.2" hidden="1" customHeight="1" spans="3:48">
      <c r="C419" s="214" t="s">
        <v>52</v>
      </c>
      <c r="D419" s="218"/>
      <c r="E419" s="218"/>
      <c r="F419" s="224"/>
      <c r="G419" s="220"/>
      <c r="H419" s="234" t="s">
        <v>109</v>
      </c>
      <c r="I419" s="227" t="e">
        <f>SUM(J419:HU419)</f>
        <v>#REF!</v>
      </c>
      <c r="J419" s="227" t="e">
        <f>SUMIFS(#REF!,#REF!,$C417&amp;J$319&amp;$D$417&amp;$G$417)</f>
        <v>#REF!</v>
      </c>
      <c r="K419" s="227" t="e">
        <f>SUMIFS(#REF!,#REF!,$C417&amp;K$319&amp;$D$417&amp;$G$417)</f>
        <v>#REF!</v>
      </c>
      <c r="L419" s="227" t="e">
        <f>SUMIFS(#REF!,#REF!,$C417&amp;L$319&amp;$D$417&amp;$G$417)</f>
        <v>#REF!</v>
      </c>
      <c r="M419" s="227" t="e">
        <f>SUMIFS(#REF!,#REF!,$C417&amp;M$319&amp;$D$417&amp;$G$417)</f>
        <v>#REF!</v>
      </c>
      <c r="N419" s="227" t="e">
        <f>SUMIFS(#REF!,#REF!,$C417&amp;N$319&amp;$D$417&amp;$G$417)</f>
        <v>#REF!</v>
      </c>
      <c r="O419" s="227" t="e">
        <f>SUMIFS(#REF!,#REF!,$C417&amp;O$319&amp;$D$417&amp;$G$417)</f>
        <v>#REF!</v>
      </c>
      <c r="P419" s="227" t="e">
        <f>SUMIFS(#REF!,#REF!,$C417&amp;P$319&amp;$D$417&amp;$G$417)</f>
        <v>#REF!</v>
      </c>
      <c r="Q419" s="227" t="e">
        <f>SUMIFS(#REF!,#REF!,$C417&amp;Q$319&amp;$D$417&amp;$G$417)</f>
        <v>#REF!</v>
      </c>
      <c r="R419" s="227" t="e">
        <f>SUMIFS(#REF!,#REF!,$C417&amp;R$319&amp;$D$417&amp;$G$417)</f>
        <v>#REF!</v>
      </c>
      <c r="S419" s="227" t="e">
        <f>SUMIFS(#REF!,#REF!,$C417&amp;S$319&amp;$D$417&amp;$G$417)</f>
        <v>#REF!</v>
      </c>
      <c r="T419" s="227" t="e">
        <f>SUMIFS(#REF!,#REF!,$C417&amp;T$319&amp;$D$417&amp;$G$417)</f>
        <v>#REF!</v>
      </c>
      <c r="U419" s="227" t="e">
        <f>SUMIFS(#REF!,#REF!,$C417&amp;U$319&amp;$D$417&amp;$G$417)</f>
        <v>#REF!</v>
      </c>
      <c r="V419" s="227" t="e">
        <f>SUMIFS(#REF!,#REF!,$C417&amp;V$319&amp;$D$417&amp;$G$417)</f>
        <v>#REF!</v>
      </c>
      <c r="W419" s="227" t="e">
        <f>SUMIFS(#REF!,#REF!,$C417&amp;W$319&amp;$D$417&amp;$G$417)</f>
        <v>#REF!</v>
      </c>
      <c r="X419" s="227" t="e">
        <f>SUMIFS(#REF!,#REF!,$C417&amp;X$319&amp;$D$417&amp;$G$417)</f>
        <v>#REF!</v>
      </c>
      <c r="Y419" s="227" t="e">
        <f>SUMIFS(#REF!,#REF!,$C417&amp;Y$319&amp;$D$417&amp;$G$417)</f>
        <v>#REF!</v>
      </c>
      <c r="Z419" s="227" t="e">
        <f>SUMIFS(#REF!,#REF!,$C417&amp;Z$319&amp;$D$417&amp;$G$417)</f>
        <v>#REF!</v>
      </c>
      <c r="AA419" s="227" t="e">
        <f>SUMIFS(#REF!,#REF!,$C417&amp;AA$319&amp;$D$417&amp;$G$417)</f>
        <v>#REF!</v>
      </c>
      <c r="AB419" s="227" t="e">
        <f>SUMIFS(#REF!,#REF!,$C417&amp;AB$319&amp;$D$417&amp;$G$417)</f>
        <v>#REF!</v>
      </c>
      <c r="AC419" s="227" t="e">
        <f>SUMIFS(#REF!,#REF!,$C417&amp;AC$319&amp;$D$417&amp;$G$417)</f>
        <v>#REF!</v>
      </c>
      <c r="AD419" s="227" t="e">
        <f>SUMIFS(#REF!,#REF!,$C417&amp;AD$319&amp;$D$417&amp;$G$417)</f>
        <v>#REF!</v>
      </c>
      <c r="AE419" s="227" t="e">
        <f>SUMIFS(#REF!,#REF!,$C417&amp;AE$319&amp;$D$417&amp;$G$417)</f>
        <v>#REF!</v>
      </c>
      <c r="AF419" s="227" t="e">
        <f>SUMIFS(#REF!,#REF!,$C417&amp;AF$319&amp;$D$417&amp;$G$417)</f>
        <v>#REF!</v>
      </c>
      <c r="AG419" s="227" t="e">
        <f>SUMIFS(#REF!,#REF!,$C417&amp;AG$319&amp;$D$417&amp;$G$417)</f>
        <v>#REF!</v>
      </c>
      <c r="AH419" s="227" t="e">
        <f>SUMIFS(#REF!,#REF!,$C417&amp;AH$319&amp;$D$417&amp;$G$417)</f>
        <v>#REF!</v>
      </c>
      <c r="AI419" s="227" t="e">
        <f>SUMIFS(#REF!,#REF!,$C417&amp;AI$319&amp;$D$417&amp;$G$417)</f>
        <v>#REF!</v>
      </c>
      <c r="AJ419" s="227" t="e">
        <f>SUMIFS(#REF!,#REF!,$C417&amp;AJ$319&amp;$D$417&amp;$G$417)</f>
        <v>#REF!</v>
      </c>
      <c r="AK419" s="227" t="e">
        <f>SUMIFS(#REF!,#REF!,$C417&amp;AK$319&amp;$D$417&amp;$G$417)</f>
        <v>#REF!</v>
      </c>
      <c r="AL419" s="227" t="e">
        <f>SUMIFS(#REF!,#REF!,$C417&amp;AL$319&amp;$D$417&amp;$G$417)</f>
        <v>#REF!</v>
      </c>
      <c r="AM419" s="227" t="e">
        <f>SUMIFS(#REF!,#REF!,$C417&amp;AM$319&amp;$D$417&amp;$G$417)</f>
        <v>#REF!</v>
      </c>
      <c r="AN419" s="11"/>
      <c r="AO419" s="15"/>
      <c r="AP419" s="15"/>
      <c r="AQ419" s="15"/>
      <c r="AR419" s="15"/>
      <c r="AS419" s="15"/>
      <c r="AT419" s="15"/>
      <c r="AU419" s="15"/>
      <c r="AV419" s="15"/>
    </row>
    <row r="420" ht="37.2" hidden="1" customHeight="1" spans="3:48">
      <c r="C420" s="214" t="s">
        <v>52</v>
      </c>
      <c r="D420" s="218"/>
      <c r="E420" s="218"/>
      <c r="F420" s="230"/>
      <c r="G420" s="220"/>
      <c r="H420" s="234" t="s">
        <v>110</v>
      </c>
      <c r="I420" s="177">
        <f t="shared" ref="I420:AM420" si="174">IFERROR(I419/I$433,0)</f>
        <v>0</v>
      </c>
      <c r="J420" s="177">
        <f t="shared" si="174"/>
        <v>0</v>
      </c>
      <c r="K420" s="177">
        <f t="shared" si="174"/>
        <v>0</v>
      </c>
      <c r="L420" s="177">
        <f t="shared" si="174"/>
        <v>0</v>
      </c>
      <c r="M420" s="177">
        <f t="shared" si="174"/>
        <v>0</v>
      </c>
      <c r="N420" s="177">
        <f t="shared" si="174"/>
        <v>0</v>
      </c>
      <c r="O420" s="177">
        <f t="shared" si="174"/>
        <v>0</v>
      </c>
      <c r="P420" s="177">
        <f t="shared" si="174"/>
        <v>0</v>
      </c>
      <c r="Q420" s="177">
        <f t="shared" si="174"/>
        <v>0</v>
      </c>
      <c r="R420" s="177">
        <f t="shared" si="174"/>
        <v>0</v>
      </c>
      <c r="S420" s="177">
        <f t="shared" si="174"/>
        <v>0</v>
      </c>
      <c r="T420" s="177">
        <f t="shared" si="174"/>
        <v>0</v>
      </c>
      <c r="U420" s="177">
        <f t="shared" si="174"/>
        <v>0</v>
      </c>
      <c r="V420" s="177">
        <f t="shared" si="174"/>
        <v>0</v>
      </c>
      <c r="W420" s="177">
        <f t="shared" si="174"/>
        <v>0</v>
      </c>
      <c r="X420" s="177">
        <f t="shared" si="174"/>
        <v>0</v>
      </c>
      <c r="Y420" s="177">
        <f t="shared" si="174"/>
        <v>0</v>
      </c>
      <c r="Z420" s="177">
        <f t="shared" si="174"/>
        <v>0</v>
      </c>
      <c r="AA420" s="177">
        <f t="shared" si="174"/>
        <v>0</v>
      </c>
      <c r="AB420" s="177">
        <f t="shared" si="174"/>
        <v>0</v>
      </c>
      <c r="AC420" s="177">
        <f t="shared" si="174"/>
        <v>0</v>
      </c>
      <c r="AD420" s="177">
        <f t="shared" si="174"/>
        <v>0</v>
      </c>
      <c r="AE420" s="177">
        <f t="shared" si="174"/>
        <v>0</v>
      </c>
      <c r="AF420" s="177">
        <f t="shared" si="174"/>
        <v>0</v>
      </c>
      <c r="AG420" s="177">
        <f t="shared" si="174"/>
        <v>0</v>
      </c>
      <c r="AH420" s="177">
        <f t="shared" si="174"/>
        <v>0</v>
      </c>
      <c r="AI420" s="177">
        <f t="shared" si="174"/>
        <v>0</v>
      </c>
      <c r="AJ420" s="177">
        <f t="shared" si="174"/>
        <v>0</v>
      </c>
      <c r="AK420" s="177">
        <f t="shared" si="174"/>
        <v>0</v>
      </c>
      <c r="AL420" s="177">
        <f t="shared" si="174"/>
        <v>0</v>
      </c>
      <c r="AM420" s="177">
        <f t="shared" si="174"/>
        <v>0</v>
      </c>
      <c r="AN420" s="15"/>
      <c r="AO420" s="15"/>
      <c r="AP420" s="15"/>
      <c r="AQ420" s="15"/>
      <c r="AR420" s="15"/>
      <c r="AS420" s="15"/>
      <c r="AT420" s="15"/>
      <c r="AU420" s="15"/>
      <c r="AV420" s="15"/>
    </row>
    <row r="421" ht="37.2" hidden="1" customHeight="1" spans="3:48">
      <c r="C421" s="214" t="s">
        <v>52</v>
      </c>
      <c r="D421" s="218"/>
      <c r="E421" s="218"/>
      <c r="F421" s="230"/>
      <c r="G421" s="238"/>
      <c r="H421" s="234" t="s">
        <v>111</v>
      </c>
      <c r="I421" s="176">
        <f t="shared" ref="I421:AM421" si="175">IFERROR(I419/I417,0)</f>
        <v>0</v>
      </c>
      <c r="J421" s="176">
        <f t="shared" si="175"/>
        <v>0</v>
      </c>
      <c r="K421" s="176">
        <f t="shared" si="175"/>
        <v>0</v>
      </c>
      <c r="L421" s="176">
        <f t="shared" si="175"/>
        <v>0</v>
      </c>
      <c r="M421" s="176">
        <f t="shared" si="175"/>
        <v>0</v>
      </c>
      <c r="N421" s="176">
        <f t="shared" si="175"/>
        <v>0</v>
      </c>
      <c r="O421" s="176">
        <f t="shared" si="175"/>
        <v>0</v>
      </c>
      <c r="P421" s="176">
        <f t="shared" si="175"/>
        <v>0</v>
      </c>
      <c r="Q421" s="176">
        <f t="shared" si="175"/>
        <v>0</v>
      </c>
      <c r="R421" s="176">
        <f t="shared" si="175"/>
        <v>0</v>
      </c>
      <c r="S421" s="176">
        <f t="shared" si="175"/>
        <v>0</v>
      </c>
      <c r="T421" s="176">
        <f t="shared" si="175"/>
        <v>0</v>
      </c>
      <c r="U421" s="176">
        <f t="shared" si="175"/>
        <v>0</v>
      </c>
      <c r="V421" s="176">
        <f t="shared" si="175"/>
        <v>0</v>
      </c>
      <c r="W421" s="176">
        <f t="shared" si="175"/>
        <v>0</v>
      </c>
      <c r="X421" s="176">
        <f t="shared" si="175"/>
        <v>0</v>
      </c>
      <c r="Y421" s="176">
        <f t="shared" si="175"/>
        <v>0</v>
      </c>
      <c r="Z421" s="176">
        <f t="shared" si="175"/>
        <v>0</v>
      </c>
      <c r="AA421" s="176">
        <f t="shared" si="175"/>
        <v>0</v>
      </c>
      <c r="AB421" s="176">
        <f t="shared" si="175"/>
        <v>0</v>
      </c>
      <c r="AC421" s="176">
        <f t="shared" si="175"/>
        <v>0</v>
      </c>
      <c r="AD421" s="176">
        <f t="shared" si="175"/>
        <v>0</v>
      </c>
      <c r="AE421" s="176">
        <f t="shared" si="175"/>
        <v>0</v>
      </c>
      <c r="AF421" s="176">
        <f t="shared" si="175"/>
        <v>0</v>
      </c>
      <c r="AG421" s="176">
        <f t="shared" si="175"/>
        <v>0</v>
      </c>
      <c r="AH421" s="176">
        <f t="shared" si="175"/>
        <v>0</v>
      </c>
      <c r="AI421" s="176">
        <f t="shared" si="175"/>
        <v>0</v>
      </c>
      <c r="AJ421" s="176">
        <f t="shared" si="175"/>
        <v>0</v>
      </c>
      <c r="AK421" s="176">
        <f t="shared" si="175"/>
        <v>0</v>
      </c>
      <c r="AL421" s="176">
        <f t="shared" si="175"/>
        <v>0</v>
      </c>
      <c r="AM421" s="176">
        <f t="shared" si="175"/>
        <v>0</v>
      </c>
      <c r="AN421" s="15"/>
      <c r="AO421" s="15"/>
      <c r="AP421" s="15"/>
      <c r="AQ421" s="15"/>
      <c r="AR421" s="15"/>
      <c r="AS421" s="15"/>
      <c r="AT421" s="15"/>
      <c r="AU421" s="15"/>
      <c r="AV421" s="15"/>
    </row>
    <row r="422" ht="37.2" hidden="1" customHeight="1" spans="3:48">
      <c r="C422" s="214" t="s">
        <v>52</v>
      </c>
      <c r="D422" s="218"/>
      <c r="E422" s="218"/>
      <c r="F422" s="218"/>
      <c r="G422" s="216" t="s">
        <v>112</v>
      </c>
      <c r="H422" s="217" t="s">
        <v>107</v>
      </c>
      <c r="I422" s="182">
        <f>SUM(J422:HU422)</f>
        <v>10185</v>
      </c>
      <c r="J422" s="182">
        <v>611</v>
      </c>
      <c r="K422" s="182">
        <v>305</v>
      </c>
      <c r="L422" s="182">
        <v>509</v>
      </c>
      <c r="M422" s="182">
        <v>305</v>
      </c>
      <c r="N422" s="182">
        <v>204</v>
      </c>
      <c r="O422" s="182">
        <v>204</v>
      </c>
      <c r="P422" s="182">
        <v>204</v>
      </c>
      <c r="Q422" s="182">
        <v>204</v>
      </c>
      <c r="R422" s="182">
        <v>204</v>
      </c>
      <c r="S422" s="182">
        <v>204</v>
      </c>
      <c r="T422" s="182">
        <v>204</v>
      </c>
      <c r="U422" s="182">
        <v>102</v>
      </c>
      <c r="V422" s="182">
        <v>305</v>
      </c>
      <c r="W422" s="182">
        <v>509</v>
      </c>
      <c r="X422" s="182">
        <v>713</v>
      </c>
      <c r="Y422" s="182">
        <v>814</v>
      </c>
      <c r="Z422" s="182">
        <v>814</v>
      </c>
      <c r="AA422" s="182">
        <v>1018</v>
      </c>
      <c r="AB422" s="182">
        <v>305</v>
      </c>
      <c r="AC422" s="182">
        <v>407</v>
      </c>
      <c r="AD422" s="182">
        <v>204</v>
      </c>
      <c r="AE422" s="182">
        <v>204</v>
      </c>
      <c r="AF422" s="182">
        <v>204</v>
      </c>
      <c r="AG422" s="182">
        <v>204</v>
      </c>
      <c r="AH422" s="182">
        <v>204</v>
      </c>
      <c r="AI422" s="182">
        <v>204</v>
      </c>
      <c r="AJ422" s="182">
        <v>204</v>
      </c>
      <c r="AK422" s="182">
        <v>204</v>
      </c>
      <c r="AL422" s="182">
        <v>204</v>
      </c>
      <c r="AM422" s="182">
        <v>204</v>
      </c>
      <c r="AN422" s="11"/>
      <c r="AO422" s="15"/>
      <c r="AP422" s="15"/>
      <c r="AQ422" s="15"/>
      <c r="AR422" s="15"/>
      <c r="AS422" s="15"/>
      <c r="AT422" s="15"/>
      <c r="AU422" s="15"/>
      <c r="AV422" s="15"/>
    </row>
    <row r="423" ht="37.2" hidden="1" customHeight="1" spans="3:48">
      <c r="C423" s="214" t="s">
        <v>52</v>
      </c>
      <c r="D423" s="218"/>
      <c r="E423" s="218"/>
      <c r="F423" s="219"/>
      <c r="G423" s="220"/>
      <c r="H423" s="221" t="s">
        <v>108</v>
      </c>
      <c r="I423" s="177">
        <v>0.3</v>
      </c>
      <c r="J423" s="177">
        <v>0.3</v>
      </c>
      <c r="K423" s="177">
        <v>0.3</v>
      </c>
      <c r="L423" s="177">
        <v>0.3</v>
      </c>
      <c r="M423" s="177">
        <v>0.3</v>
      </c>
      <c r="N423" s="177">
        <v>0.3</v>
      </c>
      <c r="O423" s="177">
        <v>0.3</v>
      </c>
      <c r="P423" s="177">
        <v>0.3</v>
      </c>
      <c r="Q423" s="177">
        <v>0.3</v>
      </c>
      <c r="R423" s="177">
        <v>0.3</v>
      </c>
      <c r="S423" s="177">
        <v>0.3</v>
      </c>
      <c r="T423" s="177">
        <v>0.3</v>
      </c>
      <c r="U423" s="177">
        <v>0.3</v>
      </c>
      <c r="V423" s="177">
        <v>0.3</v>
      </c>
      <c r="W423" s="177">
        <v>0.3</v>
      </c>
      <c r="X423" s="177">
        <v>0.3</v>
      </c>
      <c r="Y423" s="177">
        <v>0.3</v>
      </c>
      <c r="Z423" s="177">
        <v>0.3</v>
      </c>
      <c r="AA423" s="177">
        <v>0.3</v>
      </c>
      <c r="AB423" s="177">
        <v>0.3</v>
      </c>
      <c r="AC423" s="177">
        <v>0.3</v>
      </c>
      <c r="AD423" s="177">
        <v>0.3</v>
      </c>
      <c r="AE423" s="177">
        <v>0.3</v>
      </c>
      <c r="AF423" s="177">
        <v>0.3</v>
      </c>
      <c r="AG423" s="177">
        <v>0.3</v>
      </c>
      <c r="AH423" s="177">
        <v>0.3</v>
      </c>
      <c r="AI423" s="177">
        <v>0.3</v>
      </c>
      <c r="AJ423" s="177">
        <v>0.3</v>
      </c>
      <c r="AK423" s="177">
        <v>0.3</v>
      </c>
      <c r="AL423" s="177">
        <v>0.3</v>
      </c>
      <c r="AM423" s="177">
        <v>0.3</v>
      </c>
      <c r="AN423" s="15"/>
      <c r="AO423" s="15"/>
      <c r="AP423" s="15"/>
      <c r="AQ423" s="15"/>
      <c r="AR423" s="15"/>
      <c r="AS423" s="15"/>
      <c r="AT423" s="15"/>
      <c r="AU423" s="15"/>
      <c r="AV423" s="15"/>
    </row>
    <row r="424" ht="37.2" hidden="1" customHeight="1" spans="3:48">
      <c r="C424" s="214" t="s">
        <v>52</v>
      </c>
      <c r="D424" s="218"/>
      <c r="E424" s="218"/>
      <c r="F424" s="224"/>
      <c r="G424" s="220"/>
      <c r="H424" s="234" t="s">
        <v>109</v>
      </c>
      <c r="I424" s="227" t="e">
        <f>SUM(J424:HU424)</f>
        <v>#REF!</v>
      </c>
      <c r="J424" s="227" t="e">
        <f>SUMIFS(#REF!,#REF!,$C422&amp;J$319&amp;$D$417&amp;$G$422)</f>
        <v>#REF!</v>
      </c>
      <c r="K424" s="227" t="e">
        <f>SUMIFS(#REF!,#REF!,$C422&amp;K$319&amp;$D$417&amp;$G$422)</f>
        <v>#REF!</v>
      </c>
      <c r="L424" s="227" t="e">
        <f>SUMIFS(#REF!,#REF!,$C422&amp;L$319&amp;$D$417&amp;$G$422)</f>
        <v>#REF!</v>
      </c>
      <c r="M424" s="227" t="e">
        <f>SUMIFS(#REF!,#REF!,$C422&amp;M$319&amp;$D$417&amp;$G$422)</f>
        <v>#REF!</v>
      </c>
      <c r="N424" s="227" t="e">
        <f>SUMIFS(#REF!,#REF!,$C422&amp;N$319&amp;$D$417&amp;$G$422)</f>
        <v>#REF!</v>
      </c>
      <c r="O424" s="227" t="e">
        <f>SUMIFS(#REF!,#REF!,$C422&amp;O$319&amp;$D$417&amp;$G$422)</f>
        <v>#REF!</v>
      </c>
      <c r="P424" s="227" t="e">
        <f>SUMIFS(#REF!,#REF!,$C422&amp;P$319&amp;$D$417&amp;$G$422)</f>
        <v>#REF!</v>
      </c>
      <c r="Q424" s="227" t="e">
        <f>SUMIFS(#REF!,#REF!,$C422&amp;Q$319&amp;$D$417&amp;$G$422)</f>
        <v>#REF!</v>
      </c>
      <c r="R424" s="227" t="e">
        <f>SUMIFS(#REF!,#REF!,$C422&amp;R$319&amp;$D$417&amp;$G$422)</f>
        <v>#REF!</v>
      </c>
      <c r="S424" s="227" t="e">
        <f>SUMIFS(#REF!,#REF!,$C422&amp;S$319&amp;$D$417&amp;$G$422)</f>
        <v>#REF!</v>
      </c>
      <c r="T424" s="227" t="e">
        <f>SUMIFS(#REF!,#REF!,$C422&amp;T$319&amp;$D$417&amp;$G$422)</f>
        <v>#REF!</v>
      </c>
      <c r="U424" s="227" t="e">
        <f>SUMIFS(#REF!,#REF!,$C422&amp;U$319&amp;$D$417&amp;$G$422)</f>
        <v>#REF!</v>
      </c>
      <c r="V424" s="227" t="e">
        <f>SUMIFS(#REF!,#REF!,$C422&amp;V$319&amp;$D$417&amp;$G$422)</f>
        <v>#REF!</v>
      </c>
      <c r="W424" s="227" t="e">
        <f>SUMIFS(#REF!,#REF!,$C422&amp;W$319&amp;$D$417&amp;$G$422)</f>
        <v>#REF!</v>
      </c>
      <c r="X424" s="227" t="e">
        <f>SUMIFS(#REF!,#REF!,$C422&amp;X$319&amp;$D$417&amp;$G$422)</f>
        <v>#REF!</v>
      </c>
      <c r="Y424" s="227" t="e">
        <f>SUMIFS(#REF!,#REF!,$C422&amp;Y$319&amp;$D$417&amp;$G$422)</f>
        <v>#REF!</v>
      </c>
      <c r="Z424" s="227" t="e">
        <f>SUMIFS(#REF!,#REF!,$C422&amp;Z$319&amp;$D$417&amp;$G$422)</f>
        <v>#REF!</v>
      </c>
      <c r="AA424" s="227" t="e">
        <f>SUMIFS(#REF!,#REF!,$C422&amp;AA$319&amp;$D$417&amp;$G$422)</f>
        <v>#REF!</v>
      </c>
      <c r="AB424" s="227" t="e">
        <f>SUMIFS(#REF!,#REF!,$C422&amp;AB$319&amp;$D$417&amp;$G$422)</f>
        <v>#REF!</v>
      </c>
      <c r="AC424" s="227" t="e">
        <f>SUMIFS(#REF!,#REF!,$C422&amp;AC$319&amp;$D$417&amp;$G$422)</f>
        <v>#REF!</v>
      </c>
      <c r="AD424" s="227" t="e">
        <f>SUMIFS(#REF!,#REF!,$C422&amp;AD$319&amp;$D$417&amp;$G$422)</f>
        <v>#REF!</v>
      </c>
      <c r="AE424" s="227" t="e">
        <f>SUMIFS(#REF!,#REF!,$C422&amp;AE$319&amp;$D$417&amp;$G$422)</f>
        <v>#REF!</v>
      </c>
      <c r="AF424" s="227" t="e">
        <f>SUMIFS(#REF!,#REF!,$C422&amp;AF$319&amp;$D$417&amp;$G$422)</f>
        <v>#REF!</v>
      </c>
      <c r="AG424" s="227" t="e">
        <f>SUMIFS(#REF!,#REF!,$C422&amp;AG$319&amp;$D$417&amp;$G$422)</f>
        <v>#REF!</v>
      </c>
      <c r="AH424" s="227" t="e">
        <f>SUMIFS(#REF!,#REF!,$C422&amp;AH$319&amp;$D$417&amp;$G$422)</f>
        <v>#REF!</v>
      </c>
      <c r="AI424" s="227" t="e">
        <f>SUMIFS(#REF!,#REF!,$C422&amp;AI$319&amp;$D$417&amp;$G$422)</f>
        <v>#REF!</v>
      </c>
      <c r="AJ424" s="227" t="e">
        <f>SUMIFS(#REF!,#REF!,$C422&amp;AJ$319&amp;$D$417&amp;$G$422)</f>
        <v>#REF!</v>
      </c>
      <c r="AK424" s="227" t="e">
        <f>SUMIFS(#REF!,#REF!,$C422&amp;AK$319&amp;$D$417&amp;$G$422)</f>
        <v>#REF!</v>
      </c>
      <c r="AL424" s="227" t="e">
        <f>SUMIFS(#REF!,#REF!,$C422&amp;AL$319&amp;$D$417&amp;$G$422)</f>
        <v>#REF!</v>
      </c>
      <c r="AM424" s="227" t="e">
        <f>SUMIFS(#REF!,#REF!,$C422&amp;AM$319&amp;$D$417&amp;$G$422)</f>
        <v>#REF!</v>
      </c>
      <c r="AN424" s="15"/>
      <c r="AO424" s="15"/>
      <c r="AP424" s="15"/>
      <c r="AQ424" s="15"/>
      <c r="AR424" s="15"/>
      <c r="AS424" s="15"/>
      <c r="AT424" s="15"/>
      <c r="AU424" s="15"/>
      <c r="AV424" s="15"/>
    </row>
    <row r="425" ht="37.2" hidden="1" customHeight="1" spans="3:48">
      <c r="C425" s="214" t="s">
        <v>52</v>
      </c>
      <c r="D425" s="218"/>
      <c r="E425" s="218"/>
      <c r="F425" s="230"/>
      <c r="G425" s="220"/>
      <c r="H425" s="234" t="s">
        <v>110</v>
      </c>
      <c r="I425" s="177">
        <f t="shared" ref="I425:AM425" si="176">IFERROR(I424/I$433,0)</f>
        <v>0</v>
      </c>
      <c r="J425" s="177">
        <f t="shared" si="176"/>
        <v>0</v>
      </c>
      <c r="K425" s="177">
        <f t="shared" si="176"/>
        <v>0</v>
      </c>
      <c r="L425" s="177">
        <f t="shared" si="176"/>
        <v>0</v>
      </c>
      <c r="M425" s="177">
        <f t="shared" si="176"/>
        <v>0</v>
      </c>
      <c r="N425" s="177">
        <f t="shared" si="176"/>
        <v>0</v>
      </c>
      <c r="O425" s="177">
        <f t="shared" si="176"/>
        <v>0</v>
      </c>
      <c r="P425" s="177">
        <f t="shared" si="176"/>
        <v>0</v>
      </c>
      <c r="Q425" s="177">
        <f t="shared" si="176"/>
        <v>0</v>
      </c>
      <c r="R425" s="177">
        <f t="shared" si="176"/>
        <v>0</v>
      </c>
      <c r="S425" s="177">
        <f t="shared" si="176"/>
        <v>0</v>
      </c>
      <c r="T425" s="177">
        <f t="shared" si="176"/>
        <v>0</v>
      </c>
      <c r="U425" s="177">
        <f t="shared" si="176"/>
        <v>0</v>
      </c>
      <c r="V425" s="177">
        <f t="shared" si="176"/>
        <v>0</v>
      </c>
      <c r="W425" s="177">
        <f t="shared" si="176"/>
        <v>0</v>
      </c>
      <c r="X425" s="177">
        <f t="shared" si="176"/>
        <v>0</v>
      </c>
      <c r="Y425" s="177">
        <f t="shared" si="176"/>
        <v>0</v>
      </c>
      <c r="Z425" s="177">
        <f t="shared" si="176"/>
        <v>0</v>
      </c>
      <c r="AA425" s="177">
        <f t="shared" si="176"/>
        <v>0</v>
      </c>
      <c r="AB425" s="177">
        <f t="shared" si="176"/>
        <v>0</v>
      </c>
      <c r="AC425" s="177">
        <f t="shared" si="176"/>
        <v>0</v>
      </c>
      <c r="AD425" s="177">
        <f t="shared" si="176"/>
        <v>0</v>
      </c>
      <c r="AE425" s="177">
        <f t="shared" si="176"/>
        <v>0</v>
      </c>
      <c r="AF425" s="177">
        <f t="shared" si="176"/>
        <v>0</v>
      </c>
      <c r="AG425" s="177">
        <f t="shared" si="176"/>
        <v>0</v>
      </c>
      <c r="AH425" s="177">
        <f t="shared" si="176"/>
        <v>0</v>
      </c>
      <c r="AI425" s="177">
        <f t="shared" si="176"/>
        <v>0</v>
      </c>
      <c r="AJ425" s="177">
        <f t="shared" si="176"/>
        <v>0</v>
      </c>
      <c r="AK425" s="177">
        <f t="shared" si="176"/>
        <v>0</v>
      </c>
      <c r="AL425" s="177">
        <f t="shared" si="176"/>
        <v>0</v>
      </c>
      <c r="AM425" s="177">
        <f t="shared" si="176"/>
        <v>0</v>
      </c>
      <c r="AN425" s="15"/>
      <c r="AO425" s="15"/>
      <c r="AP425" s="15"/>
      <c r="AQ425" s="15"/>
      <c r="AR425" s="15"/>
      <c r="AS425" s="15"/>
      <c r="AT425" s="15"/>
      <c r="AU425" s="15"/>
      <c r="AV425" s="15"/>
    </row>
    <row r="426" ht="37.2" hidden="1" customHeight="1" spans="3:48">
      <c r="C426" s="214" t="s">
        <v>52</v>
      </c>
      <c r="D426" s="218"/>
      <c r="E426" s="218"/>
      <c r="F426" s="230"/>
      <c r="G426" s="238"/>
      <c r="H426" s="234" t="s">
        <v>111</v>
      </c>
      <c r="I426" s="176">
        <f t="shared" ref="I426:AM426" si="177">IFERROR(I424/I422,0)</f>
        <v>0</v>
      </c>
      <c r="J426" s="176">
        <f t="shared" si="177"/>
        <v>0</v>
      </c>
      <c r="K426" s="176">
        <f t="shared" si="177"/>
        <v>0</v>
      </c>
      <c r="L426" s="176">
        <f t="shared" si="177"/>
        <v>0</v>
      </c>
      <c r="M426" s="176">
        <f t="shared" si="177"/>
        <v>0</v>
      </c>
      <c r="N426" s="176">
        <f t="shared" si="177"/>
        <v>0</v>
      </c>
      <c r="O426" s="176">
        <f t="shared" si="177"/>
        <v>0</v>
      </c>
      <c r="P426" s="176">
        <f t="shared" si="177"/>
        <v>0</v>
      </c>
      <c r="Q426" s="176">
        <f t="shared" si="177"/>
        <v>0</v>
      </c>
      <c r="R426" s="176">
        <f t="shared" si="177"/>
        <v>0</v>
      </c>
      <c r="S426" s="176">
        <f t="shared" si="177"/>
        <v>0</v>
      </c>
      <c r="T426" s="176">
        <f t="shared" si="177"/>
        <v>0</v>
      </c>
      <c r="U426" s="176">
        <f t="shared" si="177"/>
        <v>0</v>
      </c>
      <c r="V426" s="176">
        <f t="shared" si="177"/>
        <v>0</v>
      </c>
      <c r="W426" s="176">
        <f t="shared" si="177"/>
        <v>0</v>
      </c>
      <c r="X426" s="176">
        <f t="shared" si="177"/>
        <v>0</v>
      </c>
      <c r="Y426" s="176">
        <f t="shared" si="177"/>
        <v>0</v>
      </c>
      <c r="Z426" s="176">
        <f t="shared" si="177"/>
        <v>0</v>
      </c>
      <c r="AA426" s="176">
        <f t="shared" si="177"/>
        <v>0</v>
      </c>
      <c r="AB426" s="176">
        <f t="shared" si="177"/>
        <v>0</v>
      </c>
      <c r="AC426" s="176">
        <f t="shared" si="177"/>
        <v>0</v>
      </c>
      <c r="AD426" s="176">
        <f t="shared" si="177"/>
        <v>0</v>
      </c>
      <c r="AE426" s="176">
        <f t="shared" si="177"/>
        <v>0</v>
      </c>
      <c r="AF426" s="176">
        <f t="shared" si="177"/>
        <v>0</v>
      </c>
      <c r="AG426" s="176">
        <f t="shared" si="177"/>
        <v>0</v>
      </c>
      <c r="AH426" s="176">
        <f t="shared" si="177"/>
        <v>0</v>
      </c>
      <c r="AI426" s="176">
        <f t="shared" si="177"/>
        <v>0</v>
      </c>
      <c r="AJ426" s="176">
        <f t="shared" si="177"/>
        <v>0</v>
      </c>
      <c r="AK426" s="176">
        <f t="shared" si="177"/>
        <v>0</v>
      </c>
      <c r="AL426" s="176">
        <f t="shared" si="177"/>
        <v>0</v>
      </c>
      <c r="AM426" s="176">
        <f t="shared" si="177"/>
        <v>0</v>
      </c>
      <c r="AN426" s="15"/>
      <c r="AO426" s="15"/>
      <c r="AP426" s="15"/>
      <c r="AQ426" s="15"/>
      <c r="AR426" s="15"/>
      <c r="AS426" s="15"/>
      <c r="AT426" s="15"/>
      <c r="AU426" s="15"/>
      <c r="AV426" s="15"/>
    </row>
    <row r="427" ht="37.2" hidden="1" customHeight="1" spans="3:48">
      <c r="C427" s="214" t="s">
        <v>52</v>
      </c>
      <c r="D427" s="218"/>
      <c r="E427" s="218"/>
      <c r="F427" s="218"/>
      <c r="G427" s="216" t="s">
        <v>113</v>
      </c>
      <c r="H427" s="217" t="s">
        <v>107</v>
      </c>
      <c r="I427" s="182">
        <f>SUM(J427:HU427)</f>
        <v>6792</v>
      </c>
      <c r="J427" s="182">
        <v>407</v>
      </c>
      <c r="K427" s="182">
        <v>204</v>
      </c>
      <c r="L427" s="182">
        <v>339</v>
      </c>
      <c r="M427" s="182">
        <v>204</v>
      </c>
      <c r="N427" s="182">
        <v>136</v>
      </c>
      <c r="O427" s="182">
        <v>136</v>
      </c>
      <c r="P427" s="182">
        <v>136</v>
      </c>
      <c r="Q427" s="182">
        <v>136</v>
      </c>
      <c r="R427" s="182">
        <v>136</v>
      </c>
      <c r="S427" s="182">
        <v>136</v>
      </c>
      <c r="T427" s="182">
        <v>136</v>
      </c>
      <c r="U427" s="182">
        <v>68</v>
      </c>
      <c r="V427" s="182">
        <v>204</v>
      </c>
      <c r="W427" s="182">
        <v>339</v>
      </c>
      <c r="X427" s="182">
        <v>475</v>
      </c>
      <c r="Y427" s="182">
        <v>543</v>
      </c>
      <c r="Z427" s="182">
        <v>543</v>
      </c>
      <c r="AA427" s="182">
        <v>679</v>
      </c>
      <c r="AB427" s="182">
        <v>204</v>
      </c>
      <c r="AC427" s="182">
        <v>271</v>
      </c>
      <c r="AD427" s="182">
        <v>136</v>
      </c>
      <c r="AE427" s="182">
        <v>136</v>
      </c>
      <c r="AF427" s="182">
        <v>136</v>
      </c>
      <c r="AG427" s="182">
        <v>136</v>
      </c>
      <c r="AH427" s="182">
        <v>136</v>
      </c>
      <c r="AI427" s="182">
        <v>136</v>
      </c>
      <c r="AJ427" s="182">
        <v>136</v>
      </c>
      <c r="AK427" s="182">
        <v>136</v>
      </c>
      <c r="AL427" s="182">
        <v>136</v>
      </c>
      <c r="AM427" s="182">
        <v>136</v>
      </c>
      <c r="AN427" s="11"/>
      <c r="AO427" s="15"/>
      <c r="AP427" s="15"/>
      <c r="AQ427" s="15"/>
      <c r="AR427" s="15"/>
      <c r="AS427" s="15"/>
      <c r="AT427" s="15"/>
      <c r="AU427" s="15"/>
      <c r="AV427" s="15"/>
    </row>
    <row r="428" ht="37.2" hidden="1" customHeight="1" spans="3:48">
      <c r="C428" s="214" t="s">
        <v>52</v>
      </c>
      <c r="D428" s="218"/>
      <c r="E428" s="218"/>
      <c r="F428" s="219"/>
      <c r="G428" s="220"/>
      <c r="H428" s="221" t="s">
        <v>108</v>
      </c>
      <c r="I428" s="177">
        <v>0.2</v>
      </c>
      <c r="J428" s="177">
        <v>0.2</v>
      </c>
      <c r="K428" s="177">
        <v>0.2</v>
      </c>
      <c r="L428" s="177">
        <v>0.2</v>
      </c>
      <c r="M428" s="177">
        <v>0.2</v>
      </c>
      <c r="N428" s="177">
        <v>0.2</v>
      </c>
      <c r="O428" s="177">
        <v>0.2</v>
      </c>
      <c r="P428" s="177">
        <v>0.2</v>
      </c>
      <c r="Q428" s="177">
        <v>0.2</v>
      </c>
      <c r="R428" s="177">
        <v>0.2</v>
      </c>
      <c r="S428" s="177">
        <v>0.2</v>
      </c>
      <c r="T428" s="177">
        <v>0.2</v>
      </c>
      <c r="U428" s="177">
        <v>0.2</v>
      </c>
      <c r="V428" s="177">
        <v>0.2</v>
      </c>
      <c r="W428" s="177">
        <v>0.2</v>
      </c>
      <c r="X428" s="177">
        <v>0.2</v>
      </c>
      <c r="Y428" s="177">
        <v>0.2</v>
      </c>
      <c r="Z428" s="177">
        <v>0.2</v>
      </c>
      <c r="AA428" s="177">
        <v>0.2</v>
      </c>
      <c r="AB428" s="177">
        <v>0.2</v>
      </c>
      <c r="AC428" s="177">
        <v>0.2</v>
      </c>
      <c r="AD428" s="177">
        <v>0.2</v>
      </c>
      <c r="AE428" s="177">
        <v>0.2</v>
      </c>
      <c r="AF428" s="177">
        <v>0.2</v>
      </c>
      <c r="AG428" s="177">
        <v>0.2</v>
      </c>
      <c r="AH428" s="177">
        <v>0.2</v>
      </c>
      <c r="AI428" s="177">
        <v>0.2</v>
      </c>
      <c r="AJ428" s="177">
        <v>0.2</v>
      </c>
      <c r="AK428" s="177">
        <v>0.2</v>
      </c>
      <c r="AL428" s="177">
        <v>0.2</v>
      </c>
      <c r="AM428" s="177">
        <v>0.2</v>
      </c>
      <c r="AN428" s="15"/>
      <c r="AO428" s="15"/>
      <c r="AP428" s="15"/>
      <c r="AQ428" s="15"/>
      <c r="AR428" s="15"/>
      <c r="AS428" s="15"/>
      <c r="AT428" s="15"/>
      <c r="AU428" s="15"/>
      <c r="AV428" s="15"/>
    </row>
    <row r="429" ht="37.2" hidden="1" customHeight="1" spans="3:48">
      <c r="C429" s="214" t="s">
        <v>52</v>
      </c>
      <c r="D429" s="218"/>
      <c r="E429" s="218"/>
      <c r="F429" s="219"/>
      <c r="G429" s="220"/>
      <c r="H429" s="234" t="s">
        <v>109</v>
      </c>
      <c r="I429" s="227" t="e">
        <f>SUM(J429:HU429)</f>
        <v>#REF!</v>
      </c>
      <c r="J429" s="227" t="e">
        <f>SUMIFS(#REF!,#REF!,$C427&amp;J$319&amp;$D$417&amp;$G$427)</f>
        <v>#REF!</v>
      </c>
      <c r="K429" s="227" t="e">
        <f>SUMIFS(#REF!,#REF!,$C427&amp;K$319&amp;$D$417&amp;$G$427)</f>
        <v>#REF!</v>
      </c>
      <c r="L429" s="227" t="e">
        <f>SUMIFS(#REF!,#REF!,$C427&amp;L$319&amp;$D$417&amp;$G$427)</f>
        <v>#REF!</v>
      </c>
      <c r="M429" s="227" t="e">
        <f>SUMIFS(#REF!,#REF!,$C427&amp;M$319&amp;$D$417&amp;$G$427)</f>
        <v>#REF!</v>
      </c>
      <c r="N429" s="227" t="e">
        <f>SUMIFS(#REF!,#REF!,$C427&amp;N$319&amp;$D$417&amp;$G$427)</f>
        <v>#REF!</v>
      </c>
      <c r="O429" s="227" t="e">
        <f>SUMIFS(#REF!,#REF!,$C427&amp;O$319&amp;$D$417&amp;$G$427)</f>
        <v>#REF!</v>
      </c>
      <c r="P429" s="227" t="e">
        <f>SUMIFS(#REF!,#REF!,$C427&amp;P$319&amp;$D$417&amp;$G$427)</f>
        <v>#REF!</v>
      </c>
      <c r="Q429" s="227" t="e">
        <f>SUMIFS(#REF!,#REF!,$C427&amp;Q$319&amp;$D$417&amp;$G$427)</f>
        <v>#REF!</v>
      </c>
      <c r="R429" s="227" t="e">
        <f>SUMIFS(#REF!,#REF!,$C427&amp;R$319&amp;$D$417&amp;$G$427)</f>
        <v>#REF!</v>
      </c>
      <c r="S429" s="227" t="e">
        <f>SUMIFS(#REF!,#REF!,$C427&amp;S$319&amp;$D$417&amp;$G$427)</f>
        <v>#REF!</v>
      </c>
      <c r="T429" s="227" t="e">
        <f>SUMIFS(#REF!,#REF!,$C427&amp;T$319&amp;$D$417&amp;$G$427)</f>
        <v>#REF!</v>
      </c>
      <c r="U429" s="227" t="e">
        <f>SUMIFS(#REF!,#REF!,$C427&amp;U$319&amp;$D$417&amp;$G$427)</f>
        <v>#REF!</v>
      </c>
      <c r="V429" s="227" t="e">
        <f>SUMIFS(#REF!,#REF!,$C427&amp;V$319&amp;$D$417&amp;$G$427)</f>
        <v>#REF!</v>
      </c>
      <c r="W429" s="227" t="e">
        <f>SUMIFS(#REF!,#REF!,$C427&amp;W$319&amp;$D$417&amp;$G$427)</f>
        <v>#REF!</v>
      </c>
      <c r="X429" s="227" t="e">
        <f>SUMIFS(#REF!,#REF!,$C427&amp;X$319&amp;$D$417&amp;$G$427)</f>
        <v>#REF!</v>
      </c>
      <c r="Y429" s="227" t="e">
        <f>SUMIFS(#REF!,#REF!,$C427&amp;Y$319&amp;$D$417&amp;$G$427)</f>
        <v>#REF!</v>
      </c>
      <c r="Z429" s="227" t="e">
        <f>SUMIFS(#REF!,#REF!,$C427&amp;Z$319&amp;$D$417&amp;$G$427)</f>
        <v>#REF!</v>
      </c>
      <c r="AA429" s="227" t="e">
        <f>SUMIFS(#REF!,#REF!,$C427&amp;AA$319&amp;$D$417&amp;$G$427)</f>
        <v>#REF!</v>
      </c>
      <c r="AB429" s="227" t="e">
        <f>SUMIFS(#REF!,#REF!,$C427&amp;AB$319&amp;$D$417&amp;$G$427)</f>
        <v>#REF!</v>
      </c>
      <c r="AC429" s="227" t="e">
        <f>SUMIFS(#REF!,#REF!,$C427&amp;AC$319&amp;$D$417&amp;$G$427)</f>
        <v>#REF!</v>
      </c>
      <c r="AD429" s="227" t="e">
        <f>SUMIFS(#REF!,#REF!,$C427&amp;AD$319&amp;$D$417&amp;$G$427)</f>
        <v>#REF!</v>
      </c>
      <c r="AE429" s="227" t="e">
        <f>SUMIFS(#REF!,#REF!,$C427&amp;AE$319&amp;$D$417&amp;$G$427)</f>
        <v>#REF!</v>
      </c>
      <c r="AF429" s="227" t="e">
        <f>SUMIFS(#REF!,#REF!,$C427&amp;AF$319&amp;$D$417&amp;$G$427)</f>
        <v>#REF!</v>
      </c>
      <c r="AG429" s="227" t="e">
        <f>SUMIFS(#REF!,#REF!,$C427&amp;AG$319&amp;$D$417&amp;$G$427)</f>
        <v>#REF!</v>
      </c>
      <c r="AH429" s="227" t="e">
        <f>SUMIFS(#REF!,#REF!,$C427&amp;AH$319&amp;$D$417&amp;$G$427)</f>
        <v>#REF!</v>
      </c>
      <c r="AI429" s="227" t="e">
        <f>SUMIFS(#REF!,#REF!,$C427&amp;AI$319&amp;$D$417&amp;$G$427)</f>
        <v>#REF!</v>
      </c>
      <c r="AJ429" s="227" t="e">
        <f>SUMIFS(#REF!,#REF!,$C427&amp;AJ$319&amp;$D$417&amp;$G$427)</f>
        <v>#REF!</v>
      </c>
      <c r="AK429" s="227" t="e">
        <f>SUMIFS(#REF!,#REF!,$C427&amp;AK$319&amp;$D$417&amp;$G$427)</f>
        <v>#REF!</v>
      </c>
      <c r="AL429" s="227" t="e">
        <f>SUMIFS(#REF!,#REF!,$C427&amp;AL$319&amp;$D$417&amp;$G$427)</f>
        <v>#REF!</v>
      </c>
      <c r="AM429" s="227" t="e">
        <f>SUMIFS(#REF!,#REF!,$C427&amp;AM$319&amp;$D$417&amp;$G$427)</f>
        <v>#REF!</v>
      </c>
      <c r="AN429" s="15"/>
      <c r="AO429" s="15"/>
      <c r="AP429" s="15"/>
      <c r="AQ429" s="15"/>
      <c r="AR429" s="15"/>
      <c r="AS429" s="15"/>
      <c r="AT429" s="15"/>
      <c r="AU429" s="15"/>
      <c r="AV429" s="15"/>
    </row>
    <row r="430" ht="37.2" hidden="1" customHeight="1" spans="3:48">
      <c r="C430" s="214" t="s">
        <v>52</v>
      </c>
      <c r="D430" s="218"/>
      <c r="E430" s="218"/>
      <c r="F430" s="230"/>
      <c r="G430" s="220"/>
      <c r="H430" s="234" t="s">
        <v>110</v>
      </c>
      <c r="I430" s="182">
        <f t="shared" ref="I430:AM430" si="178">IFERROR(I429/I$433,0)</f>
        <v>0</v>
      </c>
      <c r="J430" s="182">
        <f t="shared" si="178"/>
        <v>0</v>
      </c>
      <c r="K430" s="182">
        <f t="shared" si="178"/>
        <v>0</v>
      </c>
      <c r="L430" s="182">
        <f t="shared" si="178"/>
        <v>0</v>
      </c>
      <c r="M430" s="182">
        <f t="shared" si="178"/>
        <v>0</v>
      </c>
      <c r="N430" s="182">
        <f t="shared" si="178"/>
        <v>0</v>
      </c>
      <c r="O430" s="182">
        <f t="shared" si="178"/>
        <v>0</v>
      </c>
      <c r="P430" s="182">
        <f t="shared" si="178"/>
        <v>0</v>
      </c>
      <c r="Q430" s="182">
        <f t="shared" si="178"/>
        <v>0</v>
      </c>
      <c r="R430" s="182">
        <f t="shared" si="178"/>
        <v>0</v>
      </c>
      <c r="S430" s="182">
        <f t="shared" si="178"/>
        <v>0</v>
      </c>
      <c r="T430" s="182">
        <f t="shared" si="178"/>
        <v>0</v>
      </c>
      <c r="U430" s="182">
        <f t="shared" si="178"/>
        <v>0</v>
      </c>
      <c r="V430" s="182">
        <f t="shared" si="178"/>
        <v>0</v>
      </c>
      <c r="W430" s="182">
        <f t="shared" si="178"/>
        <v>0</v>
      </c>
      <c r="X430" s="182">
        <f t="shared" si="178"/>
        <v>0</v>
      </c>
      <c r="Y430" s="182">
        <f t="shared" si="178"/>
        <v>0</v>
      </c>
      <c r="Z430" s="182">
        <f t="shared" si="178"/>
        <v>0</v>
      </c>
      <c r="AA430" s="182">
        <f t="shared" si="178"/>
        <v>0</v>
      </c>
      <c r="AB430" s="182">
        <f t="shared" si="178"/>
        <v>0</v>
      </c>
      <c r="AC430" s="182">
        <f t="shared" si="178"/>
        <v>0</v>
      </c>
      <c r="AD430" s="182">
        <f t="shared" si="178"/>
        <v>0</v>
      </c>
      <c r="AE430" s="182">
        <f t="shared" si="178"/>
        <v>0</v>
      </c>
      <c r="AF430" s="182">
        <f t="shared" si="178"/>
        <v>0</v>
      </c>
      <c r="AG430" s="182">
        <f t="shared" si="178"/>
        <v>0</v>
      </c>
      <c r="AH430" s="182">
        <f t="shared" si="178"/>
        <v>0</v>
      </c>
      <c r="AI430" s="182">
        <f t="shared" si="178"/>
        <v>0</v>
      </c>
      <c r="AJ430" s="182">
        <f t="shared" si="178"/>
        <v>0</v>
      </c>
      <c r="AK430" s="182">
        <f t="shared" si="178"/>
        <v>0</v>
      </c>
      <c r="AL430" s="182">
        <f t="shared" si="178"/>
        <v>0</v>
      </c>
      <c r="AM430" s="182">
        <f t="shared" si="178"/>
        <v>0</v>
      </c>
      <c r="AN430" s="15"/>
      <c r="AO430" s="15"/>
      <c r="AP430" s="15"/>
      <c r="AQ430" s="15"/>
      <c r="AR430" s="15"/>
      <c r="AS430" s="15"/>
      <c r="AT430" s="15"/>
      <c r="AU430" s="15"/>
      <c r="AV430" s="15"/>
    </row>
    <row r="431" ht="37.2" hidden="1" customHeight="1" spans="3:48">
      <c r="C431" s="214" t="s">
        <v>52</v>
      </c>
      <c r="D431" s="218"/>
      <c r="E431" s="218"/>
      <c r="F431" s="230"/>
      <c r="G431" s="238"/>
      <c r="H431" s="234" t="s">
        <v>111</v>
      </c>
      <c r="I431" s="171">
        <f t="shared" ref="I431:AM431" si="179">IFERROR(I429/I427,0)</f>
        <v>0</v>
      </c>
      <c r="J431" s="171">
        <f t="shared" si="179"/>
        <v>0</v>
      </c>
      <c r="K431" s="171">
        <f t="shared" si="179"/>
        <v>0</v>
      </c>
      <c r="L431" s="171">
        <f t="shared" si="179"/>
        <v>0</v>
      </c>
      <c r="M431" s="171">
        <f t="shared" si="179"/>
        <v>0</v>
      </c>
      <c r="N431" s="171">
        <f t="shared" si="179"/>
        <v>0</v>
      </c>
      <c r="O431" s="171">
        <f t="shared" si="179"/>
        <v>0</v>
      </c>
      <c r="P431" s="171">
        <f t="shared" si="179"/>
        <v>0</v>
      </c>
      <c r="Q431" s="171">
        <f t="shared" si="179"/>
        <v>0</v>
      </c>
      <c r="R431" s="171">
        <f t="shared" si="179"/>
        <v>0</v>
      </c>
      <c r="S431" s="171">
        <f t="shared" si="179"/>
        <v>0</v>
      </c>
      <c r="T431" s="171">
        <f t="shared" si="179"/>
        <v>0</v>
      </c>
      <c r="U431" s="171">
        <f t="shared" si="179"/>
        <v>0</v>
      </c>
      <c r="V431" s="171">
        <f t="shared" si="179"/>
        <v>0</v>
      </c>
      <c r="W431" s="171">
        <f t="shared" si="179"/>
        <v>0</v>
      </c>
      <c r="X431" s="171">
        <f t="shared" si="179"/>
        <v>0</v>
      </c>
      <c r="Y431" s="171">
        <f t="shared" si="179"/>
        <v>0</v>
      </c>
      <c r="Z431" s="171">
        <f t="shared" si="179"/>
        <v>0</v>
      </c>
      <c r="AA431" s="171">
        <f t="shared" si="179"/>
        <v>0</v>
      </c>
      <c r="AB431" s="171">
        <f t="shared" si="179"/>
        <v>0</v>
      </c>
      <c r="AC431" s="171">
        <f t="shared" si="179"/>
        <v>0</v>
      </c>
      <c r="AD431" s="171">
        <f t="shared" si="179"/>
        <v>0</v>
      </c>
      <c r="AE431" s="171">
        <f t="shared" si="179"/>
        <v>0</v>
      </c>
      <c r="AF431" s="171">
        <f t="shared" si="179"/>
        <v>0</v>
      </c>
      <c r="AG431" s="171">
        <f t="shared" si="179"/>
        <v>0</v>
      </c>
      <c r="AH431" s="171">
        <f t="shared" si="179"/>
        <v>0</v>
      </c>
      <c r="AI431" s="171">
        <f t="shared" si="179"/>
        <v>0</v>
      </c>
      <c r="AJ431" s="171">
        <f t="shared" si="179"/>
        <v>0</v>
      </c>
      <c r="AK431" s="171">
        <f t="shared" si="179"/>
        <v>0</v>
      </c>
      <c r="AL431" s="171">
        <f t="shared" si="179"/>
        <v>0</v>
      </c>
      <c r="AM431" s="171">
        <f t="shared" si="179"/>
        <v>0</v>
      </c>
      <c r="AN431" s="15"/>
      <c r="AO431" s="15"/>
      <c r="AP431" s="15"/>
      <c r="AQ431" s="15"/>
      <c r="AR431" s="15"/>
      <c r="AS431" s="15"/>
      <c r="AT431" s="15"/>
      <c r="AU431" s="15"/>
      <c r="AV431" s="15"/>
    </row>
    <row r="432" ht="37.2" hidden="1" customHeight="1" spans="3:48">
      <c r="C432" s="214" t="s">
        <v>52</v>
      </c>
      <c r="D432" s="218"/>
      <c r="E432" s="218"/>
      <c r="F432" s="218"/>
      <c r="G432" s="216" t="s">
        <v>38</v>
      </c>
      <c r="H432" s="217" t="s">
        <v>107</v>
      </c>
      <c r="I432" s="182">
        <f>SUM(J432:HU432)</f>
        <v>33918</v>
      </c>
      <c r="J432" s="182">
        <v>2016</v>
      </c>
      <c r="K432" s="182">
        <v>1018</v>
      </c>
      <c r="L432" s="182">
        <v>1696</v>
      </c>
      <c r="M432" s="182">
        <v>1018</v>
      </c>
      <c r="N432" s="182">
        <v>679</v>
      </c>
      <c r="O432" s="182">
        <v>679</v>
      </c>
      <c r="P432" s="182">
        <v>679</v>
      </c>
      <c r="Q432" s="182">
        <v>679</v>
      </c>
      <c r="R432" s="182">
        <v>679</v>
      </c>
      <c r="S432" s="182">
        <v>679</v>
      </c>
      <c r="T432" s="182">
        <v>679</v>
      </c>
      <c r="U432" s="182">
        <v>340</v>
      </c>
      <c r="V432" s="182">
        <v>1018</v>
      </c>
      <c r="W432" s="182">
        <v>1696</v>
      </c>
      <c r="X432" s="182">
        <v>2376</v>
      </c>
      <c r="Y432" s="182">
        <v>2714</v>
      </c>
      <c r="Z432" s="182">
        <v>2714</v>
      </c>
      <c r="AA432" s="182">
        <v>3394</v>
      </c>
      <c r="AB432" s="182">
        <v>1018</v>
      </c>
      <c r="AC432" s="182">
        <v>1357</v>
      </c>
      <c r="AD432" s="182">
        <v>679</v>
      </c>
      <c r="AE432" s="182">
        <v>679</v>
      </c>
      <c r="AF432" s="182">
        <v>679</v>
      </c>
      <c r="AG432" s="182">
        <v>679</v>
      </c>
      <c r="AH432" s="182">
        <v>679</v>
      </c>
      <c r="AI432" s="182">
        <v>679</v>
      </c>
      <c r="AJ432" s="182">
        <v>679</v>
      </c>
      <c r="AK432" s="182">
        <v>679</v>
      </c>
      <c r="AL432" s="182">
        <v>679</v>
      </c>
      <c r="AM432" s="182">
        <v>679</v>
      </c>
      <c r="AN432" s="15"/>
      <c r="AO432" s="15"/>
      <c r="AP432" s="15"/>
      <c r="AQ432" s="15"/>
      <c r="AR432" s="15"/>
      <c r="AS432" s="15"/>
      <c r="AT432" s="15"/>
      <c r="AU432" s="15"/>
      <c r="AV432" s="15"/>
    </row>
    <row r="433" s="11" customFormat="1" ht="37.2" hidden="1" customHeight="1" spans="3:48">
      <c r="C433" s="222" t="s">
        <v>52</v>
      </c>
      <c r="D433" s="223"/>
      <c r="E433" s="223"/>
      <c r="F433" s="219"/>
      <c r="G433" s="225"/>
      <c r="H433" s="226" t="s">
        <v>109</v>
      </c>
      <c r="I433" s="227" t="e">
        <f>SUM(J433:HU433)</f>
        <v>#REF!</v>
      </c>
      <c r="J433" s="235" t="e">
        <f t="shared" ref="J433:AM433" si="180">J419+J424+J429</f>
        <v>#REF!</v>
      </c>
      <c r="K433" s="235" t="e">
        <f t="shared" si="180"/>
        <v>#REF!</v>
      </c>
      <c r="L433" s="235" t="e">
        <f t="shared" si="180"/>
        <v>#REF!</v>
      </c>
      <c r="M433" s="235" t="e">
        <f t="shared" si="180"/>
        <v>#REF!</v>
      </c>
      <c r="N433" s="235" t="e">
        <f t="shared" si="180"/>
        <v>#REF!</v>
      </c>
      <c r="O433" s="235" t="e">
        <f t="shared" si="180"/>
        <v>#REF!</v>
      </c>
      <c r="P433" s="235" t="e">
        <f t="shared" si="180"/>
        <v>#REF!</v>
      </c>
      <c r="Q433" s="235" t="e">
        <f t="shared" si="180"/>
        <v>#REF!</v>
      </c>
      <c r="R433" s="235" t="e">
        <f t="shared" si="180"/>
        <v>#REF!</v>
      </c>
      <c r="S433" s="235" t="e">
        <f t="shared" si="180"/>
        <v>#REF!</v>
      </c>
      <c r="T433" s="235" t="e">
        <f t="shared" si="180"/>
        <v>#REF!</v>
      </c>
      <c r="U433" s="235" t="e">
        <f t="shared" si="180"/>
        <v>#REF!</v>
      </c>
      <c r="V433" s="235" t="e">
        <f t="shared" si="180"/>
        <v>#REF!</v>
      </c>
      <c r="W433" s="235" t="e">
        <f t="shared" si="180"/>
        <v>#REF!</v>
      </c>
      <c r="X433" s="235" t="e">
        <f t="shared" si="180"/>
        <v>#REF!</v>
      </c>
      <c r="Y433" s="235" t="e">
        <f t="shared" si="180"/>
        <v>#REF!</v>
      </c>
      <c r="Z433" s="235" t="e">
        <f t="shared" si="180"/>
        <v>#REF!</v>
      </c>
      <c r="AA433" s="235" t="e">
        <f t="shared" si="180"/>
        <v>#REF!</v>
      </c>
      <c r="AB433" s="235" t="e">
        <f t="shared" si="180"/>
        <v>#REF!</v>
      </c>
      <c r="AC433" s="235" t="e">
        <f t="shared" si="180"/>
        <v>#REF!</v>
      </c>
      <c r="AD433" s="235" t="e">
        <f t="shared" si="180"/>
        <v>#REF!</v>
      </c>
      <c r="AE433" s="235" t="e">
        <f t="shared" si="180"/>
        <v>#REF!</v>
      </c>
      <c r="AF433" s="235" t="e">
        <f t="shared" si="180"/>
        <v>#REF!</v>
      </c>
      <c r="AG433" s="235" t="e">
        <f t="shared" si="180"/>
        <v>#REF!</v>
      </c>
      <c r="AH433" s="235" t="e">
        <f t="shared" si="180"/>
        <v>#REF!</v>
      </c>
      <c r="AI433" s="235" t="e">
        <f t="shared" si="180"/>
        <v>#REF!</v>
      </c>
      <c r="AJ433" s="235" t="e">
        <f t="shared" si="180"/>
        <v>#REF!</v>
      </c>
      <c r="AK433" s="235" t="e">
        <f t="shared" si="180"/>
        <v>#REF!</v>
      </c>
      <c r="AL433" s="235" t="e">
        <f t="shared" si="180"/>
        <v>#REF!</v>
      </c>
      <c r="AM433" s="235" t="e">
        <f t="shared" si="180"/>
        <v>#REF!</v>
      </c>
    </row>
    <row r="434" ht="37.2" hidden="1" customHeight="1" spans="3:48">
      <c r="C434" s="214" t="s">
        <v>52</v>
      </c>
      <c r="D434" s="239"/>
      <c r="E434" s="239"/>
      <c r="F434" s="237"/>
      <c r="G434" s="238"/>
      <c r="H434" s="234" t="s">
        <v>111</v>
      </c>
      <c r="I434" s="176">
        <f t="shared" ref="I434:AM434" si="181">IFERROR(I433/I432,0)</f>
        <v>0</v>
      </c>
      <c r="J434" s="171">
        <f t="shared" si="181"/>
        <v>0</v>
      </c>
      <c r="K434" s="171">
        <f t="shared" si="181"/>
        <v>0</v>
      </c>
      <c r="L434" s="171">
        <f t="shared" si="181"/>
        <v>0</v>
      </c>
      <c r="M434" s="171">
        <f t="shared" si="181"/>
        <v>0</v>
      </c>
      <c r="N434" s="171">
        <f t="shared" si="181"/>
        <v>0</v>
      </c>
      <c r="O434" s="171">
        <f t="shared" si="181"/>
        <v>0</v>
      </c>
      <c r="P434" s="171">
        <f t="shared" si="181"/>
        <v>0</v>
      </c>
      <c r="Q434" s="171">
        <f t="shared" si="181"/>
        <v>0</v>
      </c>
      <c r="R434" s="171">
        <f t="shared" si="181"/>
        <v>0</v>
      </c>
      <c r="S434" s="171">
        <f t="shared" si="181"/>
        <v>0</v>
      </c>
      <c r="T434" s="171">
        <f t="shared" si="181"/>
        <v>0</v>
      </c>
      <c r="U434" s="171">
        <f t="shared" si="181"/>
        <v>0</v>
      </c>
      <c r="V434" s="171">
        <f t="shared" si="181"/>
        <v>0</v>
      </c>
      <c r="W434" s="171">
        <f t="shared" si="181"/>
        <v>0</v>
      </c>
      <c r="X434" s="171">
        <f t="shared" si="181"/>
        <v>0</v>
      </c>
      <c r="Y434" s="171">
        <f t="shared" si="181"/>
        <v>0</v>
      </c>
      <c r="Z434" s="171">
        <f t="shared" si="181"/>
        <v>0</v>
      </c>
      <c r="AA434" s="171">
        <f t="shared" si="181"/>
        <v>0</v>
      </c>
      <c r="AB434" s="171">
        <f t="shared" si="181"/>
        <v>0</v>
      </c>
      <c r="AC434" s="171">
        <f t="shared" si="181"/>
        <v>0</v>
      </c>
      <c r="AD434" s="171">
        <f t="shared" si="181"/>
        <v>0</v>
      </c>
      <c r="AE434" s="171">
        <f t="shared" si="181"/>
        <v>0</v>
      </c>
      <c r="AF434" s="171">
        <f t="shared" si="181"/>
        <v>0</v>
      </c>
      <c r="AG434" s="171">
        <f t="shared" si="181"/>
        <v>0</v>
      </c>
      <c r="AH434" s="171">
        <f t="shared" si="181"/>
        <v>0</v>
      </c>
      <c r="AI434" s="171">
        <f t="shared" si="181"/>
        <v>0</v>
      </c>
      <c r="AJ434" s="171">
        <f t="shared" si="181"/>
        <v>0</v>
      </c>
      <c r="AK434" s="171">
        <f t="shared" si="181"/>
        <v>0</v>
      </c>
      <c r="AL434" s="171">
        <f t="shared" si="181"/>
        <v>0</v>
      </c>
      <c r="AM434" s="171">
        <f t="shared" si="181"/>
        <v>0</v>
      </c>
      <c r="AN434" s="15"/>
      <c r="AO434" s="15"/>
      <c r="AP434" s="15"/>
      <c r="AQ434" s="15"/>
      <c r="AR434" s="15"/>
      <c r="AS434" s="15"/>
      <c r="AT434" s="15"/>
      <c r="AU434" s="15"/>
      <c r="AV434" s="15"/>
    </row>
    <row r="435" ht="37.2" hidden="1" customHeight="1" spans="3:48">
      <c r="C435" s="214" t="s">
        <v>52</v>
      </c>
      <c r="D435" s="215" t="s">
        <v>81</v>
      </c>
      <c r="E435" s="215">
        <v>0.06</v>
      </c>
      <c r="F435" s="215" t="e">
        <f>I446/$I$477</f>
        <v>#REF!</v>
      </c>
      <c r="G435" s="216" t="s">
        <v>106</v>
      </c>
      <c r="H435" s="217" t="s">
        <v>107</v>
      </c>
      <c r="I435" s="182">
        <f>SUM(J435:HU435)</f>
        <v>4206</v>
      </c>
      <c r="J435" s="182">
        <v>252</v>
      </c>
      <c r="K435" s="182">
        <v>126</v>
      </c>
      <c r="L435" s="182">
        <v>211</v>
      </c>
      <c r="M435" s="182">
        <v>126</v>
      </c>
      <c r="N435" s="182">
        <v>84</v>
      </c>
      <c r="O435" s="182">
        <v>84</v>
      </c>
      <c r="P435" s="182">
        <v>84</v>
      </c>
      <c r="Q435" s="182">
        <v>84</v>
      </c>
      <c r="R435" s="182">
        <v>84</v>
      </c>
      <c r="S435" s="182">
        <v>84</v>
      </c>
      <c r="T435" s="182">
        <v>84</v>
      </c>
      <c r="U435" s="182">
        <v>42</v>
      </c>
      <c r="V435" s="182">
        <v>126</v>
      </c>
      <c r="W435" s="182">
        <v>211</v>
      </c>
      <c r="X435" s="182">
        <v>295</v>
      </c>
      <c r="Y435" s="182">
        <v>337</v>
      </c>
      <c r="Z435" s="182">
        <v>337</v>
      </c>
      <c r="AA435" s="182">
        <v>421</v>
      </c>
      <c r="AB435" s="182">
        <v>126</v>
      </c>
      <c r="AC435" s="182">
        <v>168</v>
      </c>
      <c r="AD435" s="182">
        <v>84</v>
      </c>
      <c r="AE435" s="182">
        <v>84</v>
      </c>
      <c r="AF435" s="182">
        <v>84</v>
      </c>
      <c r="AG435" s="182">
        <v>84</v>
      </c>
      <c r="AH435" s="182">
        <v>84</v>
      </c>
      <c r="AI435" s="182">
        <v>84</v>
      </c>
      <c r="AJ435" s="182">
        <v>84</v>
      </c>
      <c r="AK435" s="182">
        <v>84</v>
      </c>
      <c r="AL435" s="182">
        <v>84</v>
      </c>
      <c r="AM435" s="182">
        <v>84</v>
      </c>
      <c r="AN435" s="15"/>
      <c r="AO435" s="15"/>
      <c r="AP435" s="15"/>
      <c r="AQ435" s="15"/>
      <c r="AR435" s="15"/>
      <c r="AS435" s="15"/>
      <c r="AT435" s="15"/>
      <c r="AU435" s="15"/>
      <c r="AV435" s="15"/>
    </row>
    <row r="436" ht="37.2" hidden="1" customHeight="1" spans="3:48">
      <c r="C436" s="214" t="s">
        <v>52</v>
      </c>
      <c r="D436" s="218"/>
      <c r="E436" s="218"/>
      <c r="F436" s="219"/>
      <c r="G436" s="220"/>
      <c r="H436" s="221" t="s">
        <v>108</v>
      </c>
      <c r="I436" s="177">
        <v>0.6</v>
      </c>
      <c r="J436" s="177">
        <v>0.6</v>
      </c>
      <c r="K436" s="177">
        <v>0.6</v>
      </c>
      <c r="L436" s="177">
        <v>0.6</v>
      </c>
      <c r="M436" s="177">
        <v>0.6</v>
      </c>
      <c r="N436" s="177">
        <v>0.6</v>
      </c>
      <c r="O436" s="177">
        <v>0.6</v>
      </c>
      <c r="P436" s="177">
        <v>0.6</v>
      </c>
      <c r="Q436" s="177">
        <v>0.6</v>
      </c>
      <c r="R436" s="177">
        <v>0.6</v>
      </c>
      <c r="S436" s="177">
        <v>0.6</v>
      </c>
      <c r="T436" s="177">
        <v>0.6</v>
      </c>
      <c r="U436" s="177">
        <v>0.6</v>
      </c>
      <c r="V436" s="177">
        <v>0.6</v>
      </c>
      <c r="W436" s="177">
        <v>0.6</v>
      </c>
      <c r="X436" s="177">
        <v>0.6</v>
      </c>
      <c r="Y436" s="177">
        <v>0.6</v>
      </c>
      <c r="Z436" s="177">
        <v>0.6</v>
      </c>
      <c r="AA436" s="177">
        <v>0.6</v>
      </c>
      <c r="AB436" s="177">
        <v>0.6</v>
      </c>
      <c r="AC436" s="177">
        <v>0.6</v>
      </c>
      <c r="AD436" s="177">
        <v>0.6</v>
      </c>
      <c r="AE436" s="177">
        <v>0.6</v>
      </c>
      <c r="AF436" s="177">
        <v>0.6</v>
      </c>
      <c r="AG436" s="177">
        <v>0.6</v>
      </c>
      <c r="AH436" s="177">
        <v>0.6</v>
      </c>
      <c r="AI436" s="177">
        <v>0.6</v>
      </c>
      <c r="AJ436" s="177">
        <v>0.6</v>
      </c>
      <c r="AK436" s="177">
        <v>0.6</v>
      </c>
      <c r="AL436" s="177">
        <v>0.6</v>
      </c>
      <c r="AM436" s="177">
        <v>0.6</v>
      </c>
      <c r="AN436" s="15"/>
      <c r="AO436" s="15"/>
      <c r="AP436" s="15"/>
      <c r="AQ436" s="15"/>
      <c r="AR436" s="15"/>
      <c r="AS436" s="15"/>
      <c r="AT436" s="15"/>
      <c r="AU436" s="15"/>
      <c r="AV436" s="15"/>
    </row>
    <row r="437" ht="37.2" hidden="1" customHeight="1" spans="3:48">
      <c r="C437" s="214" t="s">
        <v>52</v>
      </c>
      <c r="D437" s="218"/>
      <c r="E437" s="218"/>
      <c r="F437" s="219"/>
      <c r="G437" s="220"/>
      <c r="H437" s="234" t="s">
        <v>109</v>
      </c>
      <c r="I437" s="227" t="e">
        <f>SUM(J437:HU437)</f>
        <v>#REF!</v>
      </c>
      <c r="J437" s="227" t="e">
        <f>SUMIFS(#REF!,#REF!,$C435&amp;J$319&amp;$D$435&amp;$G$435)</f>
        <v>#REF!</v>
      </c>
      <c r="K437" s="227" t="e">
        <f>SUMIFS(#REF!,#REF!,$C435&amp;K$319&amp;$D$435&amp;$G$435)</f>
        <v>#REF!</v>
      </c>
      <c r="L437" s="227" t="e">
        <f>SUMIFS(#REF!,#REF!,$C435&amp;L$319&amp;$D$435&amp;$G$435)</f>
        <v>#REF!</v>
      </c>
      <c r="M437" s="227" t="e">
        <f>SUMIFS(#REF!,#REF!,$C435&amp;M$319&amp;$D$435&amp;$G$435)</f>
        <v>#REF!</v>
      </c>
      <c r="N437" s="227" t="e">
        <f>SUMIFS(#REF!,#REF!,$C435&amp;N$319&amp;$D$435&amp;$G$435)</f>
        <v>#REF!</v>
      </c>
      <c r="O437" s="227" t="e">
        <f>SUMIFS(#REF!,#REF!,$C435&amp;O$319&amp;$D$435&amp;$G$435)</f>
        <v>#REF!</v>
      </c>
      <c r="P437" s="227" t="e">
        <f>SUMIFS(#REF!,#REF!,$C435&amp;P$319&amp;$D$435&amp;$G$435)</f>
        <v>#REF!</v>
      </c>
      <c r="Q437" s="227" t="e">
        <f>SUMIFS(#REF!,#REF!,$C435&amp;Q$319&amp;$D$435&amp;$G$435)</f>
        <v>#REF!</v>
      </c>
      <c r="R437" s="227" t="e">
        <f>SUMIFS(#REF!,#REF!,$C435&amp;R$319&amp;$D$435&amp;$G$435)</f>
        <v>#REF!</v>
      </c>
      <c r="S437" s="227" t="e">
        <f>SUMIFS(#REF!,#REF!,$C435&amp;S$319&amp;$D$435&amp;$G$435)</f>
        <v>#REF!</v>
      </c>
      <c r="T437" s="227" t="e">
        <f>SUMIFS(#REF!,#REF!,$C435&amp;T$319&amp;$D$435&amp;$G$435)</f>
        <v>#REF!</v>
      </c>
      <c r="U437" s="227" t="e">
        <f>SUMIFS(#REF!,#REF!,$C435&amp;U$319&amp;$D$435&amp;$G$435)</f>
        <v>#REF!</v>
      </c>
      <c r="V437" s="227" t="e">
        <f>SUMIFS(#REF!,#REF!,$C435&amp;V$319&amp;$D$435&amp;$G$435)</f>
        <v>#REF!</v>
      </c>
      <c r="W437" s="227" t="e">
        <f>SUMIFS(#REF!,#REF!,$C435&amp;W$319&amp;$D$435&amp;$G$435)</f>
        <v>#REF!</v>
      </c>
      <c r="X437" s="227" t="e">
        <f>SUMIFS(#REF!,#REF!,$C435&amp;X$319&amp;$D$435&amp;$G$435)</f>
        <v>#REF!</v>
      </c>
      <c r="Y437" s="227" t="e">
        <f>SUMIFS(#REF!,#REF!,$C435&amp;Y$319&amp;$D$435&amp;$G$435)</f>
        <v>#REF!</v>
      </c>
      <c r="Z437" s="227" t="e">
        <f>SUMIFS(#REF!,#REF!,$C435&amp;Z$319&amp;$D$435&amp;$G$435)</f>
        <v>#REF!</v>
      </c>
      <c r="AA437" s="227" t="e">
        <f>SUMIFS(#REF!,#REF!,$C435&amp;AA$319&amp;$D$435&amp;$G$435)</f>
        <v>#REF!</v>
      </c>
      <c r="AB437" s="227" t="e">
        <f>SUMIFS(#REF!,#REF!,$C435&amp;AB$319&amp;$D$435&amp;$G$435)</f>
        <v>#REF!</v>
      </c>
      <c r="AC437" s="227" t="e">
        <f>SUMIFS(#REF!,#REF!,$C435&amp;AC$319&amp;$D$435&amp;$G$435)</f>
        <v>#REF!</v>
      </c>
      <c r="AD437" s="227" t="e">
        <f>SUMIFS(#REF!,#REF!,$C435&amp;AD$319&amp;$D$435&amp;$G$435)</f>
        <v>#REF!</v>
      </c>
      <c r="AE437" s="227" t="e">
        <f>SUMIFS(#REF!,#REF!,$C435&amp;AE$319&amp;$D$435&amp;$G$435)</f>
        <v>#REF!</v>
      </c>
      <c r="AF437" s="227" t="e">
        <f>SUMIFS(#REF!,#REF!,$C435&amp;AF$319&amp;$D$435&amp;$G$435)</f>
        <v>#REF!</v>
      </c>
      <c r="AG437" s="227" t="e">
        <f>SUMIFS(#REF!,#REF!,$C435&amp;AG$319&amp;$D$435&amp;$G$435)</f>
        <v>#REF!</v>
      </c>
      <c r="AH437" s="227" t="e">
        <f>SUMIFS(#REF!,#REF!,$C435&amp;AH$319&amp;$D$435&amp;$G$435)</f>
        <v>#REF!</v>
      </c>
      <c r="AI437" s="227" t="e">
        <f>SUMIFS(#REF!,#REF!,$C435&amp;AI$319&amp;$D$435&amp;$G$435)</f>
        <v>#REF!</v>
      </c>
      <c r="AJ437" s="227" t="e">
        <f>SUMIFS(#REF!,#REF!,$C435&amp;AJ$319&amp;$D$435&amp;$G$435)</f>
        <v>#REF!</v>
      </c>
      <c r="AK437" s="227" t="e">
        <f>SUMIFS(#REF!,#REF!,$C435&amp;AK$319&amp;$D$435&amp;$G$435)</f>
        <v>#REF!</v>
      </c>
      <c r="AL437" s="227" t="e">
        <f>SUMIFS(#REF!,#REF!,$C435&amp;AL$319&amp;$D$435&amp;$G$435)</f>
        <v>#REF!</v>
      </c>
      <c r="AM437" s="227" t="e">
        <f>SUMIFS(#REF!,#REF!,$C435&amp;AM$319&amp;$D$435&amp;$G$435)</f>
        <v>#REF!</v>
      </c>
      <c r="AN437" s="15"/>
      <c r="AO437" s="15"/>
      <c r="AP437" s="15"/>
      <c r="AQ437" s="15"/>
      <c r="AR437" s="15"/>
      <c r="AS437" s="15"/>
      <c r="AT437" s="15"/>
      <c r="AU437" s="15"/>
      <c r="AV437" s="15"/>
    </row>
    <row r="438" s="5" customFormat="1" ht="37.2" hidden="1" customHeight="1" spans="3:48">
      <c r="C438" s="228" t="s">
        <v>52</v>
      </c>
      <c r="D438" s="229"/>
      <c r="E438" s="229"/>
      <c r="F438" s="230"/>
      <c r="G438" s="231"/>
      <c r="H438" s="232" t="s">
        <v>110</v>
      </c>
      <c r="I438" s="177">
        <f t="shared" ref="I438:AM438" si="182">IFERROR(I437/I$446,0)</f>
        <v>0</v>
      </c>
      <c r="J438" s="177">
        <f t="shared" si="182"/>
        <v>0</v>
      </c>
      <c r="K438" s="177">
        <f t="shared" si="182"/>
        <v>0</v>
      </c>
      <c r="L438" s="177">
        <f t="shared" si="182"/>
        <v>0</v>
      </c>
      <c r="M438" s="177">
        <f t="shared" si="182"/>
        <v>0</v>
      </c>
      <c r="N438" s="177">
        <f t="shared" si="182"/>
        <v>0</v>
      </c>
      <c r="O438" s="177">
        <f t="shared" si="182"/>
        <v>0</v>
      </c>
      <c r="P438" s="177">
        <f t="shared" si="182"/>
        <v>0</v>
      </c>
      <c r="Q438" s="177">
        <f t="shared" si="182"/>
        <v>0</v>
      </c>
      <c r="R438" s="177">
        <f t="shared" si="182"/>
        <v>0</v>
      </c>
      <c r="S438" s="177">
        <f t="shared" si="182"/>
        <v>0</v>
      </c>
      <c r="T438" s="177">
        <f t="shared" si="182"/>
        <v>0</v>
      </c>
      <c r="U438" s="177">
        <f t="shared" si="182"/>
        <v>0</v>
      </c>
      <c r="V438" s="177">
        <f t="shared" si="182"/>
        <v>0</v>
      </c>
      <c r="W438" s="177">
        <f t="shared" si="182"/>
        <v>0</v>
      </c>
      <c r="X438" s="177">
        <f t="shared" si="182"/>
        <v>0</v>
      </c>
      <c r="Y438" s="177">
        <f t="shared" si="182"/>
        <v>0</v>
      </c>
      <c r="Z438" s="177">
        <f t="shared" si="182"/>
        <v>0</v>
      </c>
      <c r="AA438" s="177">
        <f t="shared" si="182"/>
        <v>0</v>
      </c>
      <c r="AB438" s="177">
        <f t="shared" si="182"/>
        <v>0</v>
      </c>
      <c r="AC438" s="177">
        <f t="shared" si="182"/>
        <v>0</v>
      </c>
      <c r="AD438" s="177">
        <f t="shared" si="182"/>
        <v>0</v>
      </c>
      <c r="AE438" s="177">
        <f t="shared" si="182"/>
        <v>0</v>
      </c>
      <c r="AF438" s="177">
        <f t="shared" si="182"/>
        <v>0</v>
      </c>
      <c r="AG438" s="177">
        <f t="shared" si="182"/>
        <v>0</v>
      </c>
      <c r="AH438" s="177">
        <f t="shared" si="182"/>
        <v>0</v>
      </c>
      <c r="AI438" s="177">
        <f t="shared" si="182"/>
        <v>0</v>
      </c>
      <c r="AJ438" s="177">
        <f t="shared" si="182"/>
        <v>0</v>
      </c>
      <c r="AK438" s="177">
        <f t="shared" si="182"/>
        <v>0</v>
      </c>
      <c r="AL438" s="177">
        <f t="shared" si="182"/>
        <v>0</v>
      </c>
      <c r="AM438" s="177">
        <f t="shared" si="182"/>
        <v>0</v>
      </c>
    </row>
    <row r="439" s="5" customFormat="1" ht="37.2" hidden="1" customHeight="1" spans="3:48">
      <c r="C439" s="228" t="s">
        <v>52</v>
      </c>
      <c r="D439" s="229"/>
      <c r="E439" s="229"/>
      <c r="F439" s="230"/>
      <c r="G439" s="233"/>
      <c r="H439" s="232" t="s">
        <v>111</v>
      </c>
      <c r="I439" s="176">
        <f t="shared" ref="I439:AM439" si="183">IFERROR(I437/I435,0)</f>
        <v>0</v>
      </c>
      <c r="J439" s="176">
        <f t="shared" si="183"/>
        <v>0</v>
      </c>
      <c r="K439" s="176">
        <f t="shared" si="183"/>
        <v>0</v>
      </c>
      <c r="L439" s="176">
        <f t="shared" si="183"/>
        <v>0</v>
      </c>
      <c r="M439" s="176">
        <f t="shared" si="183"/>
        <v>0</v>
      </c>
      <c r="N439" s="176">
        <f t="shared" si="183"/>
        <v>0</v>
      </c>
      <c r="O439" s="176">
        <f t="shared" si="183"/>
        <v>0</v>
      </c>
      <c r="P439" s="176">
        <f t="shared" si="183"/>
        <v>0</v>
      </c>
      <c r="Q439" s="176">
        <f t="shared" si="183"/>
        <v>0</v>
      </c>
      <c r="R439" s="176">
        <f t="shared" si="183"/>
        <v>0</v>
      </c>
      <c r="S439" s="176">
        <f t="shared" si="183"/>
        <v>0</v>
      </c>
      <c r="T439" s="176">
        <f t="shared" si="183"/>
        <v>0</v>
      </c>
      <c r="U439" s="176">
        <f t="shared" si="183"/>
        <v>0</v>
      </c>
      <c r="V439" s="176">
        <f t="shared" si="183"/>
        <v>0</v>
      </c>
      <c r="W439" s="176">
        <f t="shared" si="183"/>
        <v>0</v>
      </c>
      <c r="X439" s="176">
        <f t="shared" si="183"/>
        <v>0</v>
      </c>
      <c r="Y439" s="176">
        <f t="shared" si="183"/>
        <v>0</v>
      </c>
      <c r="Z439" s="176">
        <f t="shared" si="183"/>
        <v>0</v>
      </c>
      <c r="AA439" s="176">
        <f t="shared" si="183"/>
        <v>0</v>
      </c>
      <c r="AB439" s="176">
        <f t="shared" si="183"/>
        <v>0</v>
      </c>
      <c r="AC439" s="176">
        <f t="shared" si="183"/>
        <v>0</v>
      </c>
      <c r="AD439" s="176">
        <f t="shared" si="183"/>
        <v>0</v>
      </c>
      <c r="AE439" s="176">
        <f t="shared" si="183"/>
        <v>0</v>
      </c>
      <c r="AF439" s="176">
        <f t="shared" si="183"/>
        <v>0</v>
      </c>
      <c r="AG439" s="176">
        <f t="shared" si="183"/>
        <v>0</v>
      </c>
      <c r="AH439" s="176">
        <f t="shared" si="183"/>
        <v>0</v>
      </c>
      <c r="AI439" s="176">
        <f t="shared" si="183"/>
        <v>0</v>
      </c>
      <c r="AJ439" s="176">
        <f t="shared" si="183"/>
        <v>0</v>
      </c>
      <c r="AK439" s="176">
        <f t="shared" si="183"/>
        <v>0</v>
      </c>
      <c r="AL439" s="176">
        <f t="shared" si="183"/>
        <v>0</v>
      </c>
      <c r="AM439" s="176">
        <f t="shared" si="183"/>
        <v>0</v>
      </c>
    </row>
    <row r="440" ht="37.2" hidden="1" customHeight="1" spans="3:48">
      <c r="C440" s="214" t="s">
        <v>52</v>
      </c>
      <c r="D440" s="218"/>
      <c r="E440" s="218"/>
      <c r="F440" s="218"/>
      <c r="G440" s="216" t="s">
        <v>112</v>
      </c>
      <c r="H440" s="217" t="s">
        <v>107</v>
      </c>
      <c r="I440" s="182">
        <f>SUM(J440:HU440)</f>
        <v>2804</v>
      </c>
      <c r="J440" s="182">
        <v>168</v>
      </c>
      <c r="K440" s="182">
        <v>84</v>
      </c>
      <c r="L440" s="182">
        <v>140</v>
      </c>
      <c r="M440" s="182">
        <v>84</v>
      </c>
      <c r="N440" s="182">
        <v>56</v>
      </c>
      <c r="O440" s="182">
        <v>56</v>
      </c>
      <c r="P440" s="182">
        <v>56</v>
      </c>
      <c r="Q440" s="182">
        <v>56</v>
      </c>
      <c r="R440" s="182">
        <v>56</v>
      </c>
      <c r="S440" s="182">
        <v>56</v>
      </c>
      <c r="T440" s="182">
        <v>56</v>
      </c>
      <c r="U440" s="182">
        <v>28</v>
      </c>
      <c r="V440" s="182">
        <v>84</v>
      </c>
      <c r="W440" s="182">
        <v>140</v>
      </c>
      <c r="X440" s="182">
        <v>197</v>
      </c>
      <c r="Y440" s="182">
        <v>225</v>
      </c>
      <c r="Z440" s="182">
        <v>225</v>
      </c>
      <c r="AA440" s="182">
        <v>281</v>
      </c>
      <c r="AB440" s="182">
        <v>84</v>
      </c>
      <c r="AC440" s="182">
        <v>112</v>
      </c>
      <c r="AD440" s="182">
        <v>56</v>
      </c>
      <c r="AE440" s="182">
        <v>56</v>
      </c>
      <c r="AF440" s="182">
        <v>56</v>
      </c>
      <c r="AG440" s="182">
        <v>56</v>
      </c>
      <c r="AH440" s="182">
        <v>56</v>
      </c>
      <c r="AI440" s="182">
        <v>56</v>
      </c>
      <c r="AJ440" s="182">
        <v>56</v>
      </c>
      <c r="AK440" s="182">
        <v>56</v>
      </c>
      <c r="AL440" s="182">
        <v>56</v>
      </c>
      <c r="AM440" s="182">
        <v>56</v>
      </c>
      <c r="AN440" s="15"/>
      <c r="AO440" s="15"/>
      <c r="AP440" s="15"/>
      <c r="AQ440" s="15"/>
      <c r="AR440" s="15"/>
      <c r="AS440" s="15"/>
      <c r="AT440" s="15"/>
      <c r="AU440" s="15"/>
      <c r="AV440" s="15"/>
    </row>
    <row r="441" ht="37.2" hidden="1" customHeight="1" spans="3:48">
      <c r="C441" s="214" t="s">
        <v>52</v>
      </c>
      <c r="D441" s="218"/>
      <c r="E441" s="218"/>
      <c r="F441" s="219"/>
      <c r="G441" s="220"/>
      <c r="H441" s="221" t="s">
        <v>108</v>
      </c>
      <c r="I441" s="177">
        <v>0.4</v>
      </c>
      <c r="J441" s="177">
        <v>0.4</v>
      </c>
      <c r="K441" s="177">
        <v>0.4</v>
      </c>
      <c r="L441" s="177">
        <v>0.4</v>
      </c>
      <c r="M441" s="177">
        <v>0.4</v>
      </c>
      <c r="N441" s="177">
        <v>0.4</v>
      </c>
      <c r="O441" s="177">
        <v>0.4</v>
      </c>
      <c r="P441" s="177">
        <v>0.4</v>
      </c>
      <c r="Q441" s="177">
        <v>0.4</v>
      </c>
      <c r="R441" s="177">
        <v>0.4</v>
      </c>
      <c r="S441" s="177">
        <v>0.4</v>
      </c>
      <c r="T441" s="177">
        <v>0.4</v>
      </c>
      <c r="U441" s="177">
        <v>0.4</v>
      </c>
      <c r="V441" s="177">
        <v>0.4</v>
      </c>
      <c r="W441" s="177">
        <v>0.4</v>
      </c>
      <c r="X441" s="177">
        <v>0.4</v>
      </c>
      <c r="Y441" s="177">
        <v>0.4</v>
      </c>
      <c r="Z441" s="177">
        <v>0.4</v>
      </c>
      <c r="AA441" s="177">
        <v>0.4</v>
      </c>
      <c r="AB441" s="177">
        <v>0.4</v>
      </c>
      <c r="AC441" s="177">
        <v>0.4</v>
      </c>
      <c r="AD441" s="177">
        <v>0.4</v>
      </c>
      <c r="AE441" s="177">
        <v>0.4</v>
      </c>
      <c r="AF441" s="177">
        <v>0.4</v>
      </c>
      <c r="AG441" s="177">
        <v>0.4</v>
      </c>
      <c r="AH441" s="177">
        <v>0.4</v>
      </c>
      <c r="AI441" s="177">
        <v>0.4</v>
      </c>
      <c r="AJ441" s="177">
        <v>0.4</v>
      </c>
      <c r="AK441" s="177">
        <v>0.4</v>
      </c>
      <c r="AL441" s="177">
        <v>0.4</v>
      </c>
      <c r="AM441" s="177">
        <v>0.4</v>
      </c>
      <c r="AN441" s="15"/>
      <c r="AO441" s="15"/>
      <c r="AP441" s="15"/>
      <c r="AQ441" s="15"/>
      <c r="AR441" s="15"/>
      <c r="AS441" s="15"/>
      <c r="AT441" s="15"/>
      <c r="AU441" s="15"/>
      <c r="AV441" s="15"/>
    </row>
    <row r="442" ht="37.2" hidden="1" customHeight="1" spans="3:48">
      <c r="C442" s="214" t="s">
        <v>52</v>
      </c>
      <c r="D442" s="218"/>
      <c r="E442" s="218"/>
      <c r="F442" s="219"/>
      <c r="G442" s="220"/>
      <c r="H442" s="234" t="s">
        <v>109</v>
      </c>
      <c r="I442" s="170" t="e">
        <f>SUM(J442:HU442)</f>
        <v>#REF!</v>
      </c>
      <c r="J442" s="227" t="e">
        <f>SUMIFS(#REF!,#REF!,$C440&amp;J$319&amp;$D$435&amp;$G$440)</f>
        <v>#REF!</v>
      </c>
      <c r="K442" s="227" t="e">
        <f>SUMIFS(#REF!,#REF!,$C440&amp;K$319&amp;$D$435&amp;$G$440)</f>
        <v>#REF!</v>
      </c>
      <c r="L442" s="227" t="e">
        <f>SUMIFS(#REF!,#REF!,$C440&amp;L$319&amp;$D$435&amp;$G$440)</f>
        <v>#REF!</v>
      </c>
      <c r="M442" s="227" t="e">
        <f>SUMIFS(#REF!,#REF!,$C440&amp;M$319&amp;$D$435&amp;$G$440)</f>
        <v>#REF!</v>
      </c>
      <c r="N442" s="227" t="e">
        <f>SUMIFS(#REF!,#REF!,$C440&amp;N$319&amp;$D$435&amp;$G$440)</f>
        <v>#REF!</v>
      </c>
      <c r="O442" s="227" t="e">
        <f>SUMIFS(#REF!,#REF!,$C440&amp;O$319&amp;$D$435&amp;$G$440)</f>
        <v>#REF!</v>
      </c>
      <c r="P442" s="227" t="e">
        <f>SUMIFS(#REF!,#REF!,$C440&amp;P$319&amp;$D$435&amp;$G$440)</f>
        <v>#REF!</v>
      </c>
      <c r="Q442" s="227" t="e">
        <f>SUMIFS(#REF!,#REF!,$C440&amp;Q$319&amp;$D$435&amp;$G$440)</f>
        <v>#REF!</v>
      </c>
      <c r="R442" s="227" t="e">
        <f>SUMIFS(#REF!,#REF!,$C440&amp;R$319&amp;$D$435&amp;$G$440)</f>
        <v>#REF!</v>
      </c>
      <c r="S442" s="227" t="e">
        <f>SUMIFS(#REF!,#REF!,$C440&amp;S$319&amp;$D$435&amp;$G$440)</f>
        <v>#REF!</v>
      </c>
      <c r="T442" s="227" t="e">
        <f>SUMIFS(#REF!,#REF!,$C440&amp;T$319&amp;$D$435&amp;$G$440)</f>
        <v>#REF!</v>
      </c>
      <c r="U442" s="227" t="e">
        <f>SUMIFS(#REF!,#REF!,$C440&amp;U$319&amp;$D$435&amp;$G$440)</f>
        <v>#REF!</v>
      </c>
      <c r="V442" s="227" t="e">
        <f>SUMIFS(#REF!,#REF!,$C440&amp;V$319&amp;$D$435&amp;$G$440)</f>
        <v>#REF!</v>
      </c>
      <c r="W442" s="227" t="e">
        <f>SUMIFS(#REF!,#REF!,$C440&amp;W$319&amp;$D$435&amp;$G$440)</f>
        <v>#REF!</v>
      </c>
      <c r="X442" s="227" t="e">
        <f>SUMIFS(#REF!,#REF!,$C440&amp;X$319&amp;$D$435&amp;$G$440)</f>
        <v>#REF!</v>
      </c>
      <c r="Y442" s="227" t="e">
        <f>SUMIFS(#REF!,#REF!,$C440&amp;Y$319&amp;$D$435&amp;$G$440)</f>
        <v>#REF!</v>
      </c>
      <c r="Z442" s="227" t="e">
        <f>SUMIFS(#REF!,#REF!,$C440&amp;Z$319&amp;$D$435&amp;$G$440)</f>
        <v>#REF!</v>
      </c>
      <c r="AA442" s="227" t="e">
        <f>SUMIFS(#REF!,#REF!,$C440&amp;AA$319&amp;$D$435&amp;$G$440)</f>
        <v>#REF!</v>
      </c>
      <c r="AB442" s="227" t="e">
        <f>SUMIFS(#REF!,#REF!,$C440&amp;AB$319&amp;$D$435&amp;$G$440)</f>
        <v>#REF!</v>
      </c>
      <c r="AC442" s="227" t="e">
        <f>SUMIFS(#REF!,#REF!,$C440&amp;AC$319&amp;$D$435&amp;$G$440)</f>
        <v>#REF!</v>
      </c>
      <c r="AD442" s="227" t="e">
        <f>SUMIFS(#REF!,#REF!,$C440&amp;AD$319&amp;$D$435&amp;$G$440)</f>
        <v>#REF!</v>
      </c>
      <c r="AE442" s="227" t="e">
        <f>SUMIFS(#REF!,#REF!,$C440&amp;AE$319&amp;$D$435&amp;$G$440)</f>
        <v>#REF!</v>
      </c>
      <c r="AF442" s="227" t="e">
        <f>SUMIFS(#REF!,#REF!,$C440&amp;AF$319&amp;$D$435&amp;$G$440)</f>
        <v>#REF!</v>
      </c>
      <c r="AG442" s="227" t="e">
        <f>SUMIFS(#REF!,#REF!,$C440&amp;AG$319&amp;$D$435&amp;$G$440)</f>
        <v>#REF!</v>
      </c>
      <c r="AH442" s="227" t="e">
        <f>SUMIFS(#REF!,#REF!,$C440&amp;AH$319&amp;$D$435&amp;$G$440)</f>
        <v>#REF!</v>
      </c>
      <c r="AI442" s="227" t="e">
        <f>SUMIFS(#REF!,#REF!,$C440&amp;AI$319&amp;$D$435&amp;$G$440)</f>
        <v>#REF!</v>
      </c>
      <c r="AJ442" s="227" t="e">
        <f>SUMIFS(#REF!,#REF!,$C440&amp;AJ$319&amp;$D$435&amp;$G$440)</f>
        <v>#REF!</v>
      </c>
      <c r="AK442" s="227" t="e">
        <f>SUMIFS(#REF!,#REF!,$C440&amp;AK$319&amp;$D$435&amp;$G$440)</f>
        <v>#REF!</v>
      </c>
      <c r="AL442" s="227" t="e">
        <f>SUMIFS(#REF!,#REF!,$C440&amp;AL$319&amp;$D$435&amp;$G$440)</f>
        <v>#REF!</v>
      </c>
      <c r="AM442" s="227" t="e">
        <f>SUMIFS(#REF!,#REF!,$C440&amp;AM$319&amp;$D$435&amp;$G$440)</f>
        <v>#REF!</v>
      </c>
      <c r="AN442" s="15"/>
      <c r="AO442" s="15"/>
      <c r="AP442" s="15"/>
      <c r="AQ442" s="15"/>
      <c r="AR442" s="15"/>
      <c r="AS442" s="15"/>
      <c r="AT442" s="15"/>
      <c r="AU442" s="15"/>
      <c r="AV442" s="15"/>
    </row>
    <row r="443" s="5" customFormat="1" ht="37.2" hidden="1" customHeight="1" spans="3:48">
      <c r="C443" s="228" t="s">
        <v>52</v>
      </c>
      <c r="D443" s="229"/>
      <c r="E443" s="229"/>
      <c r="F443" s="230"/>
      <c r="G443" s="231"/>
      <c r="H443" s="232" t="s">
        <v>110</v>
      </c>
      <c r="I443" s="177">
        <f t="shared" ref="I443:AM443" si="184">IFERROR(I442/I$446,0)</f>
        <v>0</v>
      </c>
      <c r="J443" s="177">
        <f t="shared" si="184"/>
        <v>0</v>
      </c>
      <c r="K443" s="177">
        <f t="shared" si="184"/>
        <v>0</v>
      </c>
      <c r="L443" s="177">
        <f t="shared" si="184"/>
        <v>0</v>
      </c>
      <c r="M443" s="177">
        <f t="shared" si="184"/>
        <v>0</v>
      </c>
      <c r="N443" s="177">
        <f t="shared" si="184"/>
        <v>0</v>
      </c>
      <c r="O443" s="177">
        <f t="shared" si="184"/>
        <v>0</v>
      </c>
      <c r="P443" s="177">
        <f t="shared" si="184"/>
        <v>0</v>
      </c>
      <c r="Q443" s="177">
        <f t="shared" si="184"/>
        <v>0</v>
      </c>
      <c r="R443" s="177">
        <f t="shared" si="184"/>
        <v>0</v>
      </c>
      <c r="S443" s="177">
        <f t="shared" si="184"/>
        <v>0</v>
      </c>
      <c r="T443" s="177">
        <f t="shared" si="184"/>
        <v>0</v>
      </c>
      <c r="U443" s="177">
        <f t="shared" si="184"/>
        <v>0</v>
      </c>
      <c r="V443" s="177">
        <f t="shared" si="184"/>
        <v>0</v>
      </c>
      <c r="W443" s="177">
        <f t="shared" si="184"/>
        <v>0</v>
      </c>
      <c r="X443" s="177">
        <f t="shared" si="184"/>
        <v>0</v>
      </c>
      <c r="Y443" s="177">
        <f t="shared" si="184"/>
        <v>0</v>
      </c>
      <c r="Z443" s="177">
        <f t="shared" si="184"/>
        <v>0</v>
      </c>
      <c r="AA443" s="177">
        <f t="shared" si="184"/>
        <v>0</v>
      </c>
      <c r="AB443" s="177">
        <f t="shared" si="184"/>
        <v>0</v>
      </c>
      <c r="AC443" s="177">
        <f t="shared" si="184"/>
        <v>0</v>
      </c>
      <c r="AD443" s="177">
        <f t="shared" si="184"/>
        <v>0</v>
      </c>
      <c r="AE443" s="177">
        <f t="shared" si="184"/>
        <v>0</v>
      </c>
      <c r="AF443" s="177">
        <f t="shared" si="184"/>
        <v>0</v>
      </c>
      <c r="AG443" s="177">
        <f t="shared" si="184"/>
        <v>0</v>
      </c>
      <c r="AH443" s="177">
        <f t="shared" si="184"/>
        <v>0</v>
      </c>
      <c r="AI443" s="177">
        <f t="shared" si="184"/>
        <v>0</v>
      </c>
      <c r="AJ443" s="177">
        <f t="shared" si="184"/>
        <v>0</v>
      </c>
      <c r="AK443" s="177">
        <f t="shared" si="184"/>
        <v>0</v>
      </c>
      <c r="AL443" s="177">
        <f t="shared" si="184"/>
        <v>0</v>
      </c>
      <c r="AM443" s="177">
        <f t="shared" si="184"/>
        <v>0</v>
      </c>
    </row>
    <row r="444" s="5" customFormat="1" ht="37.2" hidden="1" customHeight="1" spans="3:48">
      <c r="C444" s="228" t="s">
        <v>52</v>
      </c>
      <c r="D444" s="229"/>
      <c r="E444" s="229"/>
      <c r="F444" s="230"/>
      <c r="G444" s="233"/>
      <c r="H444" s="232" t="s">
        <v>111</v>
      </c>
      <c r="I444" s="176">
        <f t="shared" ref="I444:AM444" si="185">IFERROR(I442/I440,0)</f>
        <v>0</v>
      </c>
      <c r="J444" s="176">
        <f t="shared" si="185"/>
        <v>0</v>
      </c>
      <c r="K444" s="176">
        <f t="shared" si="185"/>
        <v>0</v>
      </c>
      <c r="L444" s="176">
        <f t="shared" si="185"/>
        <v>0</v>
      </c>
      <c r="M444" s="176">
        <f t="shared" si="185"/>
        <v>0</v>
      </c>
      <c r="N444" s="176">
        <f t="shared" si="185"/>
        <v>0</v>
      </c>
      <c r="O444" s="176">
        <f t="shared" si="185"/>
        <v>0</v>
      </c>
      <c r="P444" s="176">
        <f t="shared" si="185"/>
        <v>0</v>
      </c>
      <c r="Q444" s="176">
        <f t="shared" si="185"/>
        <v>0</v>
      </c>
      <c r="R444" s="176">
        <f t="shared" si="185"/>
        <v>0</v>
      </c>
      <c r="S444" s="176">
        <f t="shared" si="185"/>
        <v>0</v>
      </c>
      <c r="T444" s="176">
        <f t="shared" si="185"/>
        <v>0</v>
      </c>
      <c r="U444" s="176">
        <f t="shared" si="185"/>
        <v>0</v>
      </c>
      <c r="V444" s="176">
        <f t="shared" si="185"/>
        <v>0</v>
      </c>
      <c r="W444" s="176">
        <f t="shared" si="185"/>
        <v>0</v>
      </c>
      <c r="X444" s="176">
        <f t="shared" si="185"/>
        <v>0</v>
      </c>
      <c r="Y444" s="176">
        <f t="shared" si="185"/>
        <v>0</v>
      </c>
      <c r="Z444" s="176">
        <f t="shared" si="185"/>
        <v>0</v>
      </c>
      <c r="AA444" s="176">
        <f t="shared" si="185"/>
        <v>0</v>
      </c>
      <c r="AB444" s="176">
        <f t="shared" si="185"/>
        <v>0</v>
      </c>
      <c r="AC444" s="176">
        <f t="shared" si="185"/>
        <v>0</v>
      </c>
      <c r="AD444" s="176">
        <f t="shared" si="185"/>
        <v>0</v>
      </c>
      <c r="AE444" s="176">
        <f t="shared" si="185"/>
        <v>0</v>
      </c>
      <c r="AF444" s="176">
        <f t="shared" si="185"/>
        <v>0</v>
      </c>
      <c r="AG444" s="176">
        <f t="shared" si="185"/>
        <v>0</v>
      </c>
      <c r="AH444" s="176">
        <f t="shared" si="185"/>
        <v>0</v>
      </c>
      <c r="AI444" s="176">
        <f t="shared" si="185"/>
        <v>0</v>
      </c>
      <c r="AJ444" s="176">
        <f t="shared" si="185"/>
        <v>0</v>
      </c>
      <c r="AK444" s="176">
        <f t="shared" si="185"/>
        <v>0</v>
      </c>
      <c r="AL444" s="176">
        <f t="shared" si="185"/>
        <v>0</v>
      </c>
      <c r="AM444" s="176">
        <f t="shared" si="185"/>
        <v>0</v>
      </c>
    </row>
    <row r="445" ht="37.2" hidden="1" customHeight="1" spans="3:48">
      <c r="C445" s="214" t="s">
        <v>52</v>
      </c>
      <c r="D445" s="218"/>
      <c r="E445" s="218"/>
      <c r="F445" s="218"/>
      <c r="G445" s="216" t="s">
        <v>38</v>
      </c>
      <c r="H445" s="217" t="s">
        <v>107</v>
      </c>
      <c r="I445" s="182">
        <f>SUM(J445:HU445)</f>
        <v>7011</v>
      </c>
      <c r="J445" s="182">
        <v>421</v>
      </c>
      <c r="K445" s="182">
        <v>210</v>
      </c>
      <c r="L445" s="182">
        <v>351</v>
      </c>
      <c r="M445" s="182">
        <v>210</v>
      </c>
      <c r="N445" s="182">
        <v>140</v>
      </c>
      <c r="O445" s="182">
        <v>140</v>
      </c>
      <c r="P445" s="182">
        <v>140</v>
      </c>
      <c r="Q445" s="182">
        <v>140</v>
      </c>
      <c r="R445" s="182">
        <v>140</v>
      </c>
      <c r="S445" s="182">
        <v>140</v>
      </c>
      <c r="T445" s="182">
        <v>140</v>
      </c>
      <c r="U445" s="182">
        <v>70</v>
      </c>
      <c r="V445" s="182">
        <v>210</v>
      </c>
      <c r="W445" s="182">
        <v>351</v>
      </c>
      <c r="X445" s="182">
        <v>492</v>
      </c>
      <c r="Y445" s="182">
        <v>562</v>
      </c>
      <c r="Z445" s="182">
        <v>562</v>
      </c>
      <c r="AA445" s="182">
        <v>702</v>
      </c>
      <c r="AB445" s="182">
        <v>210</v>
      </c>
      <c r="AC445" s="182">
        <v>280</v>
      </c>
      <c r="AD445" s="182">
        <v>140</v>
      </c>
      <c r="AE445" s="182">
        <v>140</v>
      </c>
      <c r="AF445" s="182">
        <v>140</v>
      </c>
      <c r="AG445" s="182">
        <v>140</v>
      </c>
      <c r="AH445" s="182">
        <v>140</v>
      </c>
      <c r="AI445" s="182">
        <v>140</v>
      </c>
      <c r="AJ445" s="182">
        <v>140</v>
      </c>
      <c r="AK445" s="182">
        <v>140</v>
      </c>
      <c r="AL445" s="182">
        <v>140</v>
      </c>
      <c r="AM445" s="182">
        <v>140</v>
      </c>
      <c r="AN445" s="11"/>
      <c r="AO445" s="15"/>
      <c r="AP445" s="15"/>
      <c r="AQ445" s="15"/>
      <c r="AR445" s="15"/>
      <c r="AS445" s="15"/>
      <c r="AT445" s="15"/>
      <c r="AU445" s="15"/>
      <c r="AV445" s="15"/>
    </row>
    <row r="446" ht="37.2" hidden="1" customHeight="1" spans="3:48">
      <c r="C446" s="214" t="s">
        <v>52</v>
      </c>
      <c r="D446" s="218"/>
      <c r="E446" s="218"/>
      <c r="F446" s="219"/>
      <c r="G446" s="220"/>
      <c r="H446" s="234" t="s">
        <v>109</v>
      </c>
      <c r="I446" s="240" t="e">
        <f>SUM(J446:HU446)</f>
        <v>#REF!</v>
      </c>
      <c r="J446" s="235" t="e">
        <f>J437+J442</f>
        <v>#REF!</v>
      </c>
      <c r="K446" s="240" t="e">
        <f>SUMIFS(#REF!,#REF!,$C445&amp;K$319&amp;$D$435&amp;$G$435)</f>
        <v>#REF!</v>
      </c>
      <c r="L446" s="240" t="e">
        <f>SUMIFS(#REF!,#REF!,$C445&amp;L$319&amp;$D$435&amp;$G$435)</f>
        <v>#REF!</v>
      </c>
      <c r="M446" s="240" t="e">
        <f>SUMIFS(#REF!,#REF!,$C445&amp;M$319&amp;$D$435&amp;$G$435)</f>
        <v>#REF!</v>
      </c>
      <c r="N446" s="240" t="e">
        <f>SUMIFS(#REF!,#REF!,$C445&amp;N$319&amp;$D$435&amp;$G$435)</f>
        <v>#REF!</v>
      </c>
      <c r="O446" s="240" t="e">
        <f>SUMIFS(#REF!,#REF!,$C445&amp;O$319&amp;$D$435&amp;$G$435)</f>
        <v>#REF!</v>
      </c>
      <c r="P446" s="240" t="e">
        <f>SUMIFS(#REF!,#REF!,$C445&amp;P$319&amp;$D$435&amp;$G$435)</f>
        <v>#REF!</v>
      </c>
      <c r="Q446" s="240" t="e">
        <f>SUMIFS(#REF!,#REF!,$C445&amp;Q$319&amp;$D$435&amp;$G$435)</f>
        <v>#REF!</v>
      </c>
      <c r="R446" s="240" t="e">
        <f>SUMIFS(#REF!,#REF!,$C445&amp;R$319&amp;$D$435&amp;$G$435)</f>
        <v>#REF!</v>
      </c>
      <c r="S446" s="240" t="e">
        <f>SUMIFS(#REF!,#REF!,$C445&amp;S$319&amp;$D$435&amp;$G$435)</f>
        <v>#REF!</v>
      </c>
      <c r="T446" s="240" t="e">
        <f>SUMIFS(#REF!,#REF!,$C445&amp;T$319&amp;$D$435&amp;$G$435)</f>
        <v>#REF!</v>
      </c>
      <c r="U446" s="240" t="e">
        <f>SUMIFS(#REF!,#REF!,$C445&amp;U$319&amp;$D$435&amp;$G$435)</f>
        <v>#REF!</v>
      </c>
      <c r="V446" s="240" t="e">
        <f>SUMIFS(#REF!,#REF!,$C445&amp;V$319&amp;$D$435&amp;$G$435)</f>
        <v>#REF!</v>
      </c>
      <c r="W446" s="240" t="e">
        <f>SUMIFS(#REF!,#REF!,$C445&amp;W$319&amp;$D$435&amp;$G$435)</f>
        <v>#REF!</v>
      </c>
      <c r="X446" s="240" t="e">
        <f>SUMIFS(#REF!,#REF!,$C445&amp;X$319&amp;$D$435&amp;$G$435)</f>
        <v>#REF!</v>
      </c>
      <c r="Y446" s="240" t="e">
        <f>SUMIFS(#REF!,#REF!,$C445&amp;Y$319&amp;$D$435&amp;$G$435)</f>
        <v>#REF!</v>
      </c>
      <c r="Z446" s="240" t="e">
        <f>SUMIFS(#REF!,#REF!,$C445&amp;Z$319&amp;$D$435&amp;$G$435)</f>
        <v>#REF!</v>
      </c>
      <c r="AA446" s="240" t="e">
        <f>SUMIFS(#REF!,#REF!,$C445&amp;AA$319&amp;$D$435&amp;$G$435)</f>
        <v>#REF!</v>
      </c>
      <c r="AB446" s="240" t="e">
        <f>SUMIFS(#REF!,#REF!,$C445&amp;AB$319&amp;$D$435&amp;$G$435)</f>
        <v>#REF!</v>
      </c>
      <c r="AC446" s="240" t="e">
        <f>SUMIFS(#REF!,#REF!,$C445&amp;AC$319&amp;$D$435&amp;$G$435)</f>
        <v>#REF!</v>
      </c>
      <c r="AD446" s="240" t="e">
        <f>SUMIFS(#REF!,#REF!,$C445&amp;AD$319&amp;$D$435&amp;$G$435)</f>
        <v>#REF!</v>
      </c>
      <c r="AE446" s="240" t="e">
        <f>SUMIFS(#REF!,#REF!,$C445&amp;AE$319&amp;$D$435&amp;$G$435)</f>
        <v>#REF!</v>
      </c>
      <c r="AF446" s="240" t="e">
        <f>SUMIFS(#REF!,#REF!,$C445&amp;AF$319&amp;$D$435&amp;$G$435)</f>
        <v>#REF!</v>
      </c>
      <c r="AG446" s="240" t="e">
        <f>SUMIFS(#REF!,#REF!,$C445&amp;AG$319&amp;$D$435&amp;$G$435)</f>
        <v>#REF!</v>
      </c>
      <c r="AH446" s="240" t="e">
        <f>SUMIFS(#REF!,#REF!,$C445&amp;AH$319&amp;$D$435&amp;$G$435)</f>
        <v>#REF!</v>
      </c>
      <c r="AI446" s="240" t="e">
        <f>SUMIFS(#REF!,#REF!,$C445&amp;AI$319&amp;$D$435&amp;$G$435)</f>
        <v>#REF!</v>
      </c>
      <c r="AJ446" s="240" t="e">
        <f>SUMIFS(#REF!,#REF!,$C445&amp;AJ$319&amp;$D$435&amp;$G$435)</f>
        <v>#REF!</v>
      </c>
      <c r="AK446" s="240" t="e">
        <f>SUMIFS(#REF!,#REF!,$C445&amp;AK$319&amp;$D$435&amp;$G$435)</f>
        <v>#REF!</v>
      </c>
      <c r="AL446" s="240" t="e">
        <f>SUMIFS(#REF!,#REF!,$C445&amp;AL$319&amp;$D$435&amp;$G$435)</f>
        <v>#REF!</v>
      </c>
      <c r="AM446" s="240" t="e">
        <f>SUMIFS(#REF!,#REF!,$C445&amp;AM$319&amp;$D$435&amp;$G$435)</f>
        <v>#REF!</v>
      </c>
      <c r="AN446" s="15"/>
      <c r="AO446" s="15"/>
      <c r="AP446" s="15"/>
      <c r="AQ446" s="15"/>
      <c r="AR446" s="15"/>
      <c r="AS446" s="15"/>
      <c r="AT446" s="15"/>
      <c r="AU446" s="15"/>
      <c r="AV446" s="15"/>
    </row>
    <row r="447" s="5" customFormat="1" ht="37.2" hidden="1" customHeight="1" spans="3:48">
      <c r="C447" s="228" t="s">
        <v>52</v>
      </c>
      <c r="D447" s="236"/>
      <c r="E447" s="236"/>
      <c r="F447" s="237"/>
      <c r="G447" s="233"/>
      <c r="H447" s="232" t="s">
        <v>111</v>
      </c>
      <c r="I447" s="176">
        <f t="shared" ref="I447:AM447" si="186">IFERROR(I446/I445,0)</f>
        <v>0</v>
      </c>
      <c r="J447" s="176">
        <f t="shared" si="186"/>
        <v>0</v>
      </c>
      <c r="K447" s="176">
        <f t="shared" si="186"/>
        <v>0</v>
      </c>
      <c r="L447" s="176">
        <f t="shared" si="186"/>
        <v>0</v>
      </c>
      <c r="M447" s="176">
        <f t="shared" si="186"/>
        <v>0</v>
      </c>
      <c r="N447" s="176">
        <f t="shared" si="186"/>
        <v>0</v>
      </c>
      <c r="O447" s="176">
        <f t="shared" si="186"/>
        <v>0</v>
      </c>
      <c r="P447" s="176">
        <f t="shared" si="186"/>
        <v>0</v>
      </c>
      <c r="Q447" s="176">
        <f t="shared" si="186"/>
        <v>0</v>
      </c>
      <c r="R447" s="176">
        <f t="shared" si="186"/>
        <v>0</v>
      </c>
      <c r="S447" s="176">
        <f t="shared" si="186"/>
        <v>0</v>
      </c>
      <c r="T447" s="176">
        <f t="shared" si="186"/>
        <v>0</v>
      </c>
      <c r="U447" s="176">
        <f t="shared" si="186"/>
        <v>0</v>
      </c>
      <c r="V447" s="176">
        <f t="shared" si="186"/>
        <v>0</v>
      </c>
      <c r="W447" s="176">
        <f t="shared" si="186"/>
        <v>0</v>
      </c>
      <c r="X447" s="176">
        <f t="shared" si="186"/>
        <v>0</v>
      </c>
      <c r="Y447" s="176">
        <f t="shared" si="186"/>
        <v>0</v>
      </c>
      <c r="Z447" s="176">
        <f t="shared" si="186"/>
        <v>0</v>
      </c>
      <c r="AA447" s="176">
        <f t="shared" si="186"/>
        <v>0</v>
      </c>
      <c r="AB447" s="176">
        <f t="shared" si="186"/>
        <v>0</v>
      </c>
      <c r="AC447" s="176">
        <f t="shared" si="186"/>
        <v>0</v>
      </c>
      <c r="AD447" s="176">
        <f t="shared" si="186"/>
        <v>0</v>
      </c>
      <c r="AE447" s="176">
        <f t="shared" si="186"/>
        <v>0</v>
      </c>
      <c r="AF447" s="176">
        <f t="shared" si="186"/>
        <v>0</v>
      </c>
      <c r="AG447" s="176">
        <f t="shared" si="186"/>
        <v>0</v>
      </c>
      <c r="AH447" s="176">
        <f t="shared" si="186"/>
        <v>0</v>
      </c>
      <c r="AI447" s="176">
        <f t="shared" si="186"/>
        <v>0</v>
      </c>
      <c r="AJ447" s="176">
        <f t="shared" si="186"/>
        <v>0</v>
      </c>
      <c r="AK447" s="176">
        <f t="shared" si="186"/>
        <v>0</v>
      </c>
      <c r="AL447" s="176">
        <f t="shared" si="186"/>
        <v>0</v>
      </c>
      <c r="AM447" s="176">
        <f t="shared" si="186"/>
        <v>0</v>
      </c>
    </row>
    <row r="448" ht="37.2" hidden="1" customHeight="1" spans="3:48">
      <c r="C448" s="214" t="s">
        <v>52</v>
      </c>
      <c r="D448" s="215" t="s">
        <v>91</v>
      </c>
      <c r="E448" s="241">
        <v>0.2</v>
      </c>
      <c r="F448" s="241" t="e">
        <f>I459/$I$477</f>
        <v>#REF!</v>
      </c>
      <c r="G448" s="216" t="s">
        <v>106</v>
      </c>
      <c r="H448" s="234" t="s">
        <v>107</v>
      </c>
      <c r="I448" s="242">
        <f>SUM(J448:HU448)</f>
        <v>14042</v>
      </c>
      <c r="J448" s="182">
        <v>842</v>
      </c>
      <c r="K448" s="182">
        <v>421</v>
      </c>
      <c r="L448" s="182">
        <v>702</v>
      </c>
      <c r="M448" s="182">
        <v>421</v>
      </c>
      <c r="N448" s="182">
        <v>281</v>
      </c>
      <c r="O448" s="182">
        <v>281</v>
      </c>
      <c r="P448" s="182">
        <v>281</v>
      </c>
      <c r="Q448" s="182">
        <v>281</v>
      </c>
      <c r="R448" s="182">
        <v>281</v>
      </c>
      <c r="S448" s="182">
        <v>281</v>
      </c>
      <c r="T448" s="182">
        <v>281</v>
      </c>
      <c r="U448" s="182">
        <v>140</v>
      </c>
      <c r="V448" s="182">
        <v>421</v>
      </c>
      <c r="W448" s="182">
        <v>702</v>
      </c>
      <c r="X448" s="182">
        <v>983</v>
      </c>
      <c r="Y448" s="182">
        <v>1123</v>
      </c>
      <c r="Z448" s="182">
        <v>1123</v>
      </c>
      <c r="AA448" s="182">
        <v>1404</v>
      </c>
      <c r="AB448" s="182">
        <v>421</v>
      </c>
      <c r="AC448" s="182">
        <v>562</v>
      </c>
      <c r="AD448" s="182">
        <v>281</v>
      </c>
      <c r="AE448" s="182">
        <v>281</v>
      </c>
      <c r="AF448" s="182">
        <v>281</v>
      </c>
      <c r="AG448" s="182">
        <v>281</v>
      </c>
      <c r="AH448" s="182">
        <v>281</v>
      </c>
      <c r="AI448" s="182">
        <v>281</v>
      </c>
      <c r="AJ448" s="182">
        <v>281</v>
      </c>
      <c r="AK448" s="182">
        <v>281</v>
      </c>
      <c r="AL448" s="182">
        <v>281</v>
      </c>
      <c r="AM448" s="182">
        <v>281</v>
      </c>
      <c r="AN448" s="15"/>
      <c r="AO448" s="15"/>
      <c r="AP448" s="15"/>
      <c r="AQ448" s="15"/>
      <c r="AR448" s="15"/>
      <c r="AS448" s="15"/>
      <c r="AT448" s="15"/>
      <c r="AU448" s="15"/>
      <c r="AV448" s="15"/>
    </row>
    <row r="449" ht="37.2" hidden="1" customHeight="1" spans="3:48">
      <c r="C449" s="214" t="s">
        <v>52</v>
      </c>
      <c r="D449" s="218"/>
      <c r="E449" s="218"/>
      <c r="F449" s="219"/>
      <c r="G449" s="220"/>
      <c r="H449" s="221" t="s">
        <v>108</v>
      </c>
      <c r="I449" s="177">
        <v>0.6</v>
      </c>
      <c r="J449" s="177">
        <v>0.6</v>
      </c>
      <c r="K449" s="177">
        <v>0.6</v>
      </c>
      <c r="L449" s="177">
        <v>0.6</v>
      </c>
      <c r="M449" s="177">
        <v>0.6</v>
      </c>
      <c r="N449" s="177">
        <v>0.6</v>
      </c>
      <c r="O449" s="177">
        <v>0.6</v>
      </c>
      <c r="P449" s="177">
        <v>0.6</v>
      </c>
      <c r="Q449" s="177">
        <v>0.6</v>
      </c>
      <c r="R449" s="177">
        <v>0.6</v>
      </c>
      <c r="S449" s="177">
        <v>0.6</v>
      </c>
      <c r="T449" s="177">
        <v>0.6</v>
      </c>
      <c r="U449" s="177">
        <v>0.6</v>
      </c>
      <c r="V449" s="177">
        <v>0.6</v>
      </c>
      <c r="W449" s="177">
        <v>0.6</v>
      </c>
      <c r="X449" s="177">
        <v>0.6</v>
      </c>
      <c r="Y449" s="177">
        <v>0.6</v>
      </c>
      <c r="Z449" s="177">
        <v>0.6</v>
      </c>
      <c r="AA449" s="177">
        <v>0.6</v>
      </c>
      <c r="AB449" s="177">
        <v>0.6</v>
      </c>
      <c r="AC449" s="177">
        <v>0.6</v>
      </c>
      <c r="AD449" s="177">
        <v>0.6</v>
      </c>
      <c r="AE449" s="177">
        <v>0.6</v>
      </c>
      <c r="AF449" s="177">
        <v>0.6</v>
      </c>
      <c r="AG449" s="177">
        <v>0.6</v>
      </c>
      <c r="AH449" s="177">
        <v>0.6</v>
      </c>
      <c r="AI449" s="177">
        <v>0.6</v>
      </c>
      <c r="AJ449" s="177">
        <v>0.6</v>
      </c>
      <c r="AK449" s="177">
        <v>0.6</v>
      </c>
      <c r="AL449" s="177">
        <v>0.6</v>
      </c>
      <c r="AM449" s="177">
        <v>0.6</v>
      </c>
      <c r="AN449" s="15"/>
      <c r="AO449" s="15"/>
      <c r="AP449" s="15"/>
      <c r="AQ449" s="15"/>
      <c r="AR449" s="15"/>
      <c r="AS449" s="15"/>
      <c r="AT449" s="15"/>
      <c r="AU449" s="15"/>
      <c r="AV449" s="15"/>
    </row>
    <row r="450" ht="37.2" hidden="1" customHeight="1" spans="3:48">
      <c r="C450" s="214" t="s">
        <v>52</v>
      </c>
      <c r="D450" s="218"/>
      <c r="E450" s="218"/>
      <c r="F450" s="219"/>
      <c r="G450" s="220"/>
      <c r="H450" s="234" t="s">
        <v>109</v>
      </c>
      <c r="I450" s="227" t="e">
        <f>SUM(J450:HU450)</f>
        <v>#REF!</v>
      </c>
      <c r="J450" s="227" t="e">
        <f>SUMIFS(#REF!,#REF!,$C448&amp;J$319&amp;$D$448&amp;$G$448)</f>
        <v>#REF!</v>
      </c>
      <c r="K450" s="227" t="e">
        <f>SUMIFS(#REF!,#REF!,$C448&amp;K$319&amp;$D$448&amp;$G$448)</f>
        <v>#REF!</v>
      </c>
      <c r="L450" s="227" t="e">
        <f>SUMIFS(#REF!,#REF!,$C448&amp;L$319&amp;$D$448&amp;$G$448)</f>
        <v>#REF!</v>
      </c>
      <c r="M450" s="227" t="e">
        <f>SUMIFS(#REF!,#REF!,$C448&amp;M$319&amp;$D$448&amp;$G$448)</f>
        <v>#REF!</v>
      </c>
      <c r="N450" s="227" t="e">
        <f>SUMIFS(#REF!,#REF!,$C448&amp;N$319&amp;$D$448&amp;$G$448)</f>
        <v>#REF!</v>
      </c>
      <c r="O450" s="227" t="e">
        <f>SUMIFS(#REF!,#REF!,$C448&amp;O$319&amp;$D$448&amp;$G$448)</f>
        <v>#REF!</v>
      </c>
      <c r="P450" s="227" t="e">
        <f>SUMIFS(#REF!,#REF!,$C448&amp;P$319&amp;$D$448&amp;$G$448)</f>
        <v>#REF!</v>
      </c>
      <c r="Q450" s="227" t="e">
        <f>SUMIFS(#REF!,#REF!,$C448&amp;Q$319&amp;$D$448&amp;$G$448)</f>
        <v>#REF!</v>
      </c>
      <c r="R450" s="227" t="e">
        <f>SUMIFS(#REF!,#REF!,$C448&amp;R$319&amp;$D$448&amp;$G$448)</f>
        <v>#REF!</v>
      </c>
      <c r="S450" s="227" t="e">
        <f>SUMIFS(#REF!,#REF!,$C448&amp;S$319&amp;$D$448&amp;$G$448)</f>
        <v>#REF!</v>
      </c>
      <c r="T450" s="227" t="e">
        <f>SUMIFS(#REF!,#REF!,$C448&amp;T$319&amp;$D$448&amp;$G$448)</f>
        <v>#REF!</v>
      </c>
      <c r="U450" s="227" t="e">
        <f>SUMIFS(#REF!,#REF!,$C448&amp;U$319&amp;$D$448&amp;$G$448)</f>
        <v>#REF!</v>
      </c>
      <c r="V450" s="227" t="e">
        <f>SUMIFS(#REF!,#REF!,$C448&amp;V$319&amp;$D$448&amp;$G$448)</f>
        <v>#REF!</v>
      </c>
      <c r="W450" s="227" t="e">
        <f>SUMIFS(#REF!,#REF!,$C448&amp;W$319&amp;$D$448&amp;$G$448)</f>
        <v>#REF!</v>
      </c>
      <c r="X450" s="227" t="e">
        <f>SUMIFS(#REF!,#REF!,$C448&amp;X$319&amp;$D$448&amp;$G$448)</f>
        <v>#REF!</v>
      </c>
      <c r="Y450" s="227" t="e">
        <f>SUMIFS(#REF!,#REF!,$C448&amp;Y$319&amp;$D$448&amp;$G$448)</f>
        <v>#REF!</v>
      </c>
      <c r="Z450" s="227" t="e">
        <f>SUMIFS(#REF!,#REF!,$C448&amp;Z$319&amp;$D$448&amp;$G$448)</f>
        <v>#REF!</v>
      </c>
      <c r="AA450" s="227" t="e">
        <f>SUMIFS(#REF!,#REF!,$C448&amp;AA$319&amp;$D$448&amp;$G$448)</f>
        <v>#REF!</v>
      </c>
      <c r="AB450" s="227" t="e">
        <f>SUMIFS(#REF!,#REF!,$C448&amp;AB$319&amp;$D$448&amp;$G$448)</f>
        <v>#REF!</v>
      </c>
      <c r="AC450" s="227" t="e">
        <f>SUMIFS(#REF!,#REF!,$C448&amp;AC$319&amp;$D$448&amp;$G$448)</f>
        <v>#REF!</v>
      </c>
      <c r="AD450" s="227" t="e">
        <f>SUMIFS(#REF!,#REF!,$C448&amp;AD$319&amp;$D$448&amp;$G$448)</f>
        <v>#REF!</v>
      </c>
      <c r="AE450" s="227" t="e">
        <f>SUMIFS(#REF!,#REF!,$C448&amp;AE$319&amp;$D$448&amp;$G$448)</f>
        <v>#REF!</v>
      </c>
      <c r="AF450" s="227" t="e">
        <f>SUMIFS(#REF!,#REF!,$C448&amp;AF$319&amp;$D$448&amp;$G$448)</f>
        <v>#REF!</v>
      </c>
      <c r="AG450" s="227" t="e">
        <f>SUMIFS(#REF!,#REF!,$C448&amp;AG$319&amp;$D$448&amp;$G$448)</f>
        <v>#REF!</v>
      </c>
      <c r="AH450" s="227" t="e">
        <f>SUMIFS(#REF!,#REF!,$C448&amp;AH$319&amp;$D$448&amp;$G$448)</f>
        <v>#REF!</v>
      </c>
      <c r="AI450" s="227" t="e">
        <f>SUMIFS(#REF!,#REF!,$C448&amp;AI$319&amp;$D$448&amp;$G$448)</f>
        <v>#REF!</v>
      </c>
      <c r="AJ450" s="227" t="e">
        <f>SUMIFS(#REF!,#REF!,$C448&amp;AJ$319&amp;$D$448&amp;$G$448)</f>
        <v>#REF!</v>
      </c>
      <c r="AK450" s="227" t="e">
        <f>SUMIFS(#REF!,#REF!,$C448&amp;AK$319&amp;$D$448&amp;$G$448)</f>
        <v>#REF!</v>
      </c>
      <c r="AL450" s="227" t="e">
        <f>SUMIFS(#REF!,#REF!,$C448&amp;AL$319&amp;$D$448&amp;$G$448)</f>
        <v>#REF!</v>
      </c>
      <c r="AM450" s="227" t="e">
        <f>SUMIFS(#REF!,#REF!,$C448&amp;AM$319&amp;$D$448&amp;$G$448)</f>
        <v>#REF!</v>
      </c>
      <c r="AN450" s="15"/>
      <c r="AO450" s="15"/>
      <c r="AP450" s="15"/>
      <c r="AQ450" s="15"/>
      <c r="AR450" s="15"/>
      <c r="AS450" s="15"/>
      <c r="AT450" s="15"/>
      <c r="AU450" s="15"/>
      <c r="AV450" s="15"/>
    </row>
    <row r="451" s="5" customFormat="1" ht="37.2" hidden="1" customHeight="1" spans="3:48">
      <c r="C451" s="228" t="s">
        <v>52</v>
      </c>
      <c r="D451" s="229"/>
      <c r="E451" s="229"/>
      <c r="F451" s="230"/>
      <c r="G451" s="231"/>
      <c r="H451" s="232" t="s">
        <v>110</v>
      </c>
      <c r="I451" s="177">
        <f t="shared" ref="I451:AM451" si="187">IFERROR(I450/I$459,0)</f>
        <v>0</v>
      </c>
      <c r="J451" s="177">
        <f t="shared" si="187"/>
        <v>0</v>
      </c>
      <c r="K451" s="177">
        <f t="shared" si="187"/>
        <v>0</v>
      </c>
      <c r="L451" s="177">
        <f t="shared" si="187"/>
        <v>0</v>
      </c>
      <c r="M451" s="177">
        <f t="shared" si="187"/>
        <v>0</v>
      </c>
      <c r="N451" s="177">
        <f t="shared" si="187"/>
        <v>0</v>
      </c>
      <c r="O451" s="177">
        <f t="shared" si="187"/>
        <v>0</v>
      </c>
      <c r="P451" s="177">
        <f t="shared" si="187"/>
        <v>0</v>
      </c>
      <c r="Q451" s="177">
        <f t="shared" si="187"/>
        <v>0</v>
      </c>
      <c r="R451" s="177">
        <f t="shared" si="187"/>
        <v>0</v>
      </c>
      <c r="S451" s="177">
        <f t="shared" si="187"/>
        <v>0</v>
      </c>
      <c r="T451" s="177">
        <f t="shared" si="187"/>
        <v>0</v>
      </c>
      <c r="U451" s="177">
        <f t="shared" si="187"/>
        <v>0</v>
      </c>
      <c r="V451" s="177">
        <f t="shared" si="187"/>
        <v>0</v>
      </c>
      <c r="W451" s="177">
        <f t="shared" si="187"/>
        <v>0</v>
      </c>
      <c r="X451" s="177">
        <f t="shared" si="187"/>
        <v>0</v>
      </c>
      <c r="Y451" s="177">
        <f t="shared" si="187"/>
        <v>0</v>
      </c>
      <c r="Z451" s="177">
        <f t="shared" si="187"/>
        <v>0</v>
      </c>
      <c r="AA451" s="177">
        <f t="shared" si="187"/>
        <v>0</v>
      </c>
      <c r="AB451" s="177">
        <f t="shared" si="187"/>
        <v>0</v>
      </c>
      <c r="AC451" s="177">
        <f t="shared" si="187"/>
        <v>0</v>
      </c>
      <c r="AD451" s="177">
        <f t="shared" si="187"/>
        <v>0</v>
      </c>
      <c r="AE451" s="177">
        <f t="shared" si="187"/>
        <v>0</v>
      </c>
      <c r="AF451" s="177">
        <f t="shared" si="187"/>
        <v>0</v>
      </c>
      <c r="AG451" s="177">
        <f t="shared" si="187"/>
        <v>0</v>
      </c>
      <c r="AH451" s="177">
        <f t="shared" si="187"/>
        <v>0</v>
      </c>
      <c r="AI451" s="177">
        <f t="shared" si="187"/>
        <v>0</v>
      </c>
      <c r="AJ451" s="177">
        <f t="shared" si="187"/>
        <v>0</v>
      </c>
      <c r="AK451" s="177">
        <f t="shared" si="187"/>
        <v>0</v>
      </c>
      <c r="AL451" s="177">
        <f t="shared" si="187"/>
        <v>0</v>
      </c>
      <c r="AM451" s="177">
        <f t="shared" si="187"/>
        <v>0</v>
      </c>
    </row>
    <row r="452" s="5" customFormat="1" ht="37.2" hidden="1" customHeight="1" spans="3:48">
      <c r="C452" s="228" t="s">
        <v>52</v>
      </c>
      <c r="D452" s="229"/>
      <c r="E452" s="229"/>
      <c r="F452" s="230"/>
      <c r="G452" s="233"/>
      <c r="H452" s="232" t="s">
        <v>111</v>
      </c>
      <c r="I452" s="176">
        <f t="shared" ref="I452:AM452" si="188">IFERROR(I450/I448,0)</f>
        <v>0</v>
      </c>
      <c r="J452" s="176">
        <f t="shared" si="188"/>
        <v>0</v>
      </c>
      <c r="K452" s="176">
        <f t="shared" si="188"/>
        <v>0</v>
      </c>
      <c r="L452" s="176">
        <f t="shared" si="188"/>
        <v>0</v>
      </c>
      <c r="M452" s="176">
        <f t="shared" si="188"/>
        <v>0</v>
      </c>
      <c r="N452" s="176">
        <f t="shared" si="188"/>
        <v>0</v>
      </c>
      <c r="O452" s="176">
        <f t="shared" si="188"/>
        <v>0</v>
      </c>
      <c r="P452" s="176">
        <f t="shared" si="188"/>
        <v>0</v>
      </c>
      <c r="Q452" s="176">
        <f t="shared" si="188"/>
        <v>0</v>
      </c>
      <c r="R452" s="176">
        <f t="shared" si="188"/>
        <v>0</v>
      </c>
      <c r="S452" s="176">
        <f t="shared" si="188"/>
        <v>0</v>
      </c>
      <c r="T452" s="176">
        <f t="shared" si="188"/>
        <v>0</v>
      </c>
      <c r="U452" s="176">
        <f t="shared" si="188"/>
        <v>0</v>
      </c>
      <c r="V452" s="176">
        <f t="shared" si="188"/>
        <v>0</v>
      </c>
      <c r="W452" s="176">
        <f t="shared" si="188"/>
        <v>0</v>
      </c>
      <c r="X452" s="176">
        <f t="shared" si="188"/>
        <v>0</v>
      </c>
      <c r="Y452" s="176">
        <f t="shared" si="188"/>
        <v>0</v>
      </c>
      <c r="Z452" s="176">
        <f t="shared" si="188"/>
        <v>0</v>
      </c>
      <c r="AA452" s="176">
        <f t="shared" si="188"/>
        <v>0</v>
      </c>
      <c r="AB452" s="176">
        <f t="shared" si="188"/>
        <v>0</v>
      </c>
      <c r="AC452" s="176">
        <f t="shared" si="188"/>
        <v>0</v>
      </c>
      <c r="AD452" s="176">
        <f t="shared" si="188"/>
        <v>0</v>
      </c>
      <c r="AE452" s="176">
        <f t="shared" si="188"/>
        <v>0</v>
      </c>
      <c r="AF452" s="176">
        <f t="shared" si="188"/>
        <v>0</v>
      </c>
      <c r="AG452" s="176">
        <f t="shared" si="188"/>
        <v>0</v>
      </c>
      <c r="AH452" s="176">
        <f t="shared" si="188"/>
        <v>0</v>
      </c>
      <c r="AI452" s="176">
        <f t="shared" si="188"/>
        <v>0</v>
      </c>
      <c r="AJ452" s="176">
        <f t="shared" si="188"/>
        <v>0</v>
      </c>
      <c r="AK452" s="176">
        <f t="shared" si="188"/>
        <v>0</v>
      </c>
      <c r="AL452" s="176">
        <f t="shared" si="188"/>
        <v>0</v>
      </c>
      <c r="AM452" s="176">
        <f t="shared" si="188"/>
        <v>0</v>
      </c>
    </row>
    <row r="453" ht="37.2" hidden="1" customHeight="1" spans="3:48">
      <c r="C453" s="214" t="s">
        <v>52</v>
      </c>
      <c r="D453" s="218"/>
      <c r="E453" s="219"/>
      <c r="F453" s="219"/>
      <c r="G453" s="216" t="s">
        <v>112</v>
      </c>
      <c r="H453" s="234" t="s">
        <v>107</v>
      </c>
      <c r="I453" s="242">
        <f>SUM(J453:HU453)</f>
        <v>9358</v>
      </c>
      <c r="J453" s="182">
        <v>562</v>
      </c>
      <c r="K453" s="182">
        <v>281</v>
      </c>
      <c r="L453" s="182">
        <v>468</v>
      </c>
      <c r="M453" s="182">
        <v>281</v>
      </c>
      <c r="N453" s="182">
        <v>187</v>
      </c>
      <c r="O453" s="182">
        <v>187</v>
      </c>
      <c r="P453" s="182">
        <v>187</v>
      </c>
      <c r="Q453" s="182">
        <v>187</v>
      </c>
      <c r="R453" s="182">
        <v>187</v>
      </c>
      <c r="S453" s="182">
        <v>187</v>
      </c>
      <c r="T453" s="182">
        <v>187</v>
      </c>
      <c r="U453" s="182">
        <v>94</v>
      </c>
      <c r="V453" s="182">
        <v>281</v>
      </c>
      <c r="W453" s="182">
        <v>468</v>
      </c>
      <c r="X453" s="182">
        <v>655</v>
      </c>
      <c r="Y453" s="182">
        <v>749</v>
      </c>
      <c r="Z453" s="182">
        <v>749</v>
      </c>
      <c r="AA453" s="182">
        <v>936</v>
      </c>
      <c r="AB453" s="182">
        <v>281</v>
      </c>
      <c r="AC453" s="182">
        <v>374</v>
      </c>
      <c r="AD453" s="182">
        <v>187</v>
      </c>
      <c r="AE453" s="182">
        <v>187</v>
      </c>
      <c r="AF453" s="182">
        <v>187</v>
      </c>
      <c r="AG453" s="182">
        <v>187</v>
      </c>
      <c r="AH453" s="182">
        <v>187</v>
      </c>
      <c r="AI453" s="182">
        <v>187</v>
      </c>
      <c r="AJ453" s="182">
        <v>187</v>
      </c>
      <c r="AK453" s="182">
        <v>187</v>
      </c>
      <c r="AL453" s="182">
        <v>187</v>
      </c>
      <c r="AM453" s="182">
        <v>187</v>
      </c>
      <c r="AN453" s="15"/>
      <c r="AO453" s="15"/>
      <c r="AP453" s="15"/>
      <c r="AQ453" s="15"/>
      <c r="AR453" s="15"/>
      <c r="AS453" s="15"/>
      <c r="AT453" s="15"/>
      <c r="AU453" s="15"/>
      <c r="AV453" s="15"/>
    </row>
    <row r="454" ht="37.2" hidden="1" customHeight="1" spans="3:48">
      <c r="C454" s="214" t="s">
        <v>52</v>
      </c>
      <c r="D454" s="218"/>
      <c r="E454" s="218"/>
      <c r="F454" s="219"/>
      <c r="G454" s="220"/>
      <c r="H454" s="221" t="s">
        <v>108</v>
      </c>
      <c r="I454" s="177">
        <v>0.4</v>
      </c>
      <c r="J454" s="177">
        <v>0.4</v>
      </c>
      <c r="K454" s="177">
        <v>0.4</v>
      </c>
      <c r="L454" s="177">
        <v>0.4</v>
      </c>
      <c r="M454" s="177">
        <v>0.4</v>
      </c>
      <c r="N454" s="177">
        <v>0.4</v>
      </c>
      <c r="O454" s="177">
        <v>0.4</v>
      </c>
      <c r="P454" s="177">
        <v>0.4</v>
      </c>
      <c r="Q454" s="177">
        <v>0.4</v>
      </c>
      <c r="R454" s="177">
        <v>0.4</v>
      </c>
      <c r="S454" s="177">
        <v>0.4</v>
      </c>
      <c r="T454" s="177">
        <v>0.4</v>
      </c>
      <c r="U454" s="177">
        <v>0.4</v>
      </c>
      <c r="V454" s="177">
        <v>0.4</v>
      </c>
      <c r="W454" s="177">
        <v>0.4</v>
      </c>
      <c r="X454" s="177">
        <v>0.4</v>
      </c>
      <c r="Y454" s="177">
        <v>0.4</v>
      </c>
      <c r="Z454" s="177">
        <v>0.4</v>
      </c>
      <c r="AA454" s="177">
        <v>0.4</v>
      </c>
      <c r="AB454" s="177">
        <v>0.4</v>
      </c>
      <c r="AC454" s="177">
        <v>0.4</v>
      </c>
      <c r="AD454" s="177">
        <v>0.4</v>
      </c>
      <c r="AE454" s="177">
        <v>0.4</v>
      </c>
      <c r="AF454" s="177">
        <v>0.4</v>
      </c>
      <c r="AG454" s="177">
        <v>0.4</v>
      </c>
      <c r="AH454" s="177">
        <v>0.4</v>
      </c>
      <c r="AI454" s="177">
        <v>0.4</v>
      </c>
      <c r="AJ454" s="177">
        <v>0.4</v>
      </c>
      <c r="AK454" s="177">
        <v>0.4</v>
      </c>
      <c r="AL454" s="177">
        <v>0.4</v>
      </c>
      <c r="AM454" s="177">
        <v>0.4</v>
      </c>
      <c r="AN454" s="15"/>
      <c r="AO454" s="15"/>
      <c r="AP454" s="15"/>
      <c r="AQ454" s="15"/>
      <c r="AR454" s="15"/>
      <c r="AS454" s="15"/>
      <c r="AT454" s="15"/>
      <c r="AU454" s="15"/>
      <c r="AV454" s="15"/>
    </row>
    <row r="455" ht="37.2" hidden="1" customHeight="1" spans="3:48">
      <c r="C455" s="214" t="s">
        <v>52</v>
      </c>
      <c r="D455" s="218"/>
      <c r="E455" s="218"/>
      <c r="F455" s="219"/>
      <c r="G455" s="220"/>
      <c r="H455" s="234" t="s">
        <v>109</v>
      </c>
      <c r="I455" s="227" t="e">
        <f>SUM(J455:HU455)</f>
        <v>#REF!</v>
      </c>
      <c r="J455" s="227" t="e">
        <f>SUMIFS(#REF!,#REF!,$C453&amp;J$319&amp;$D$448&amp;$G$453)</f>
        <v>#REF!</v>
      </c>
      <c r="K455" s="227" t="e">
        <f>SUMIFS(#REF!,#REF!,$C453&amp;K$319&amp;$D$448&amp;$G$453)</f>
        <v>#REF!</v>
      </c>
      <c r="L455" s="227" t="e">
        <f>SUMIFS(#REF!,#REF!,$C453&amp;L$319&amp;$D$448&amp;$G$453)</f>
        <v>#REF!</v>
      </c>
      <c r="M455" s="227" t="e">
        <f>SUMIFS(#REF!,#REF!,$C453&amp;M$319&amp;$D$448&amp;$G$453)</f>
        <v>#REF!</v>
      </c>
      <c r="N455" s="227" t="e">
        <f>SUMIFS(#REF!,#REF!,$C453&amp;N$319&amp;$D$448&amp;$G$453)</f>
        <v>#REF!</v>
      </c>
      <c r="O455" s="227" t="e">
        <f>SUMIFS(#REF!,#REF!,$C453&amp;O$319&amp;$D$448&amp;$G$453)</f>
        <v>#REF!</v>
      </c>
      <c r="P455" s="227" t="e">
        <f>SUMIFS(#REF!,#REF!,$C453&amp;P$319&amp;$D$448&amp;$G$453)</f>
        <v>#REF!</v>
      </c>
      <c r="Q455" s="227" t="e">
        <f>SUMIFS(#REF!,#REF!,$C453&amp;Q$319&amp;$D$448&amp;$G$453)</f>
        <v>#REF!</v>
      </c>
      <c r="R455" s="227" t="e">
        <f>SUMIFS(#REF!,#REF!,$C453&amp;R$319&amp;$D$448&amp;$G$453)</f>
        <v>#REF!</v>
      </c>
      <c r="S455" s="227" t="e">
        <f>SUMIFS(#REF!,#REF!,$C453&amp;S$319&amp;$D$448&amp;$G$453)</f>
        <v>#REF!</v>
      </c>
      <c r="T455" s="227" t="e">
        <f>SUMIFS(#REF!,#REF!,$C453&amp;T$319&amp;$D$448&amp;$G$453)</f>
        <v>#REF!</v>
      </c>
      <c r="U455" s="227" t="e">
        <f>SUMIFS(#REF!,#REF!,$C453&amp;U$319&amp;$D$448&amp;$G$453)</f>
        <v>#REF!</v>
      </c>
      <c r="V455" s="227" t="e">
        <f>SUMIFS(#REF!,#REF!,$C453&amp;V$319&amp;$D$448&amp;$G$453)</f>
        <v>#REF!</v>
      </c>
      <c r="W455" s="227" t="e">
        <f>SUMIFS(#REF!,#REF!,$C453&amp;W$319&amp;$D$448&amp;$G$453)</f>
        <v>#REF!</v>
      </c>
      <c r="X455" s="227" t="e">
        <f>SUMIFS(#REF!,#REF!,$C453&amp;X$319&amp;$D$448&amp;$G$453)</f>
        <v>#REF!</v>
      </c>
      <c r="Y455" s="227" t="e">
        <f>SUMIFS(#REF!,#REF!,$C453&amp;Y$319&amp;$D$448&amp;$G$453)</f>
        <v>#REF!</v>
      </c>
      <c r="Z455" s="227" t="e">
        <f>SUMIFS(#REF!,#REF!,$C453&amp;Z$319&amp;$D$448&amp;$G$453)</f>
        <v>#REF!</v>
      </c>
      <c r="AA455" s="227" t="e">
        <f>SUMIFS(#REF!,#REF!,$C453&amp;AA$319&amp;$D$448&amp;$G$453)</f>
        <v>#REF!</v>
      </c>
      <c r="AB455" s="227" t="e">
        <f>SUMIFS(#REF!,#REF!,$C453&amp;AB$319&amp;$D$448&amp;$G$453)</f>
        <v>#REF!</v>
      </c>
      <c r="AC455" s="227" t="e">
        <f>SUMIFS(#REF!,#REF!,$C453&amp;AC$319&amp;$D$448&amp;$G$453)</f>
        <v>#REF!</v>
      </c>
      <c r="AD455" s="227" t="e">
        <f>SUMIFS(#REF!,#REF!,$C453&amp;AD$319&amp;$D$448&amp;$G$453)</f>
        <v>#REF!</v>
      </c>
      <c r="AE455" s="227" t="e">
        <f>SUMIFS(#REF!,#REF!,$C453&amp;AE$319&amp;$D$448&amp;$G$453)</f>
        <v>#REF!</v>
      </c>
      <c r="AF455" s="227" t="e">
        <f>SUMIFS(#REF!,#REF!,$C453&amp;AF$319&amp;$D$448&amp;$G$453)</f>
        <v>#REF!</v>
      </c>
      <c r="AG455" s="227" t="e">
        <f>SUMIFS(#REF!,#REF!,$C453&amp;AG$319&amp;$D$448&amp;$G$453)</f>
        <v>#REF!</v>
      </c>
      <c r="AH455" s="227" t="e">
        <f>SUMIFS(#REF!,#REF!,$C453&amp;AH$319&amp;$D$448&amp;$G$453)</f>
        <v>#REF!</v>
      </c>
      <c r="AI455" s="227" t="e">
        <f>SUMIFS(#REF!,#REF!,$C453&amp;AI$319&amp;$D$448&amp;$G$453)</f>
        <v>#REF!</v>
      </c>
      <c r="AJ455" s="227" t="e">
        <f>SUMIFS(#REF!,#REF!,$C453&amp;AJ$319&amp;$D$448&amp;$G$453)</f>
        <v>#REF!</v>
      </c>
      <c r="AK455" s="227" t="e">
        <f>SUMIFS(#REF!,#REF!,$C453&amp;AK$319&amp;$D$448&amp;$G$453)</f>
        <v>#REF!</v>
      </c>
      <c r="AL455" s="227" t="e">
        <f>SUMIFS(#REF!,#REF!,$C453&amp;AL$319&amp;$D$448&amp;$G$453)</f>
        <v>#REF!</v>
      </c>
      <c r="AM455" s="227" t="e">
        <f>SUMIFS(#REF!,#REF!,$C453&amp;AM$319&amp;$D$448&amp;$G$453)</f>
        <v>#REF!</v>
      </c>
      <c r="AN455" s="15"/>
      <c r="AO455" s="15"/>
      <c r="AP455" s="15"/>
      <c r="AQ455" s="15"/>
      <c r="AR455" s="15"/>
      <c r="AS455" s="15"/>
      <c r="AT455" s="15"/>
      <c r="AU455" s="15"/>
      <c r="AV455" s="15"/>
    </row>
    <row r="456" s="5" customFormat="1" ht="37.2" hidden="1" customHeight="1" spans="3:48">
      <c r="C456" s="228" t="s">
        <v>52</v>
      </c>
      <c r="D456" s="229"/>
      <c r="E456" s="229"/>
      <c r="F456" s="230"/>
      <c r="G456" s="231"/>
      <c r="H456" s="232" t="s">
        <v>110</v>
      </c>
      <c r="I456" s="177">
        <f t="shared" ref="I456:AM456" si="189">IFERROR(I455/I$459,0)</f>
        <v>0</v>
      </c>
      <c r="J456" s="177">
        <f t="shared" si="189"/>
        <v>0</v>
      </c>
      <c r="K456" s="177">
        <f t="shared" si="189"/>
        <v>0</v>
      </c>
      <c r="L456" s="177">
        <f t="shared" si="189"/>
        <v>0</v>
      </c>
      <c r="M456" s="177">
        <f t="shared" si="189"/>
        <v>0</v>
      </c>
      <c r="N456" s="177">
        <f t="shared" si="189"/>
        <v>0</v>
      </c>
      <c r="O456" s="177">
        <f t="shared" si="189"/>
        <v>0</v>
      </c>
      <c r="P456" s="177">
        <f t="shared" si="189"/>
        <v>0</v>
      </c>
      <c r="Q456" s="177">
        <f t="shared" si="189"/>
        <v>0</v>
      </c>
      <c r="R456" s="177">
        <f t="shared" si="189"/>
        <v>0</v>
      </c>
      <c r="S456" s="177">
        <f t="shared" si="189"/>
        <v>0</v>
      </c>
      <c r="T456" s="177">
        <f t="shared" si="189"/>
        <v>0</v>
      </c>
      <c r="U456" s="177">
        <f t="shared" si="189"/>
        <v>0</v>
      </c>
      <c r="V456" s="177">
        <f t="shared" si="189"/>
        <v>0</v>
      </c>
      <c r="W456" s="177">
        <f t="shared" si="189"/>
        <v>0</v>
      </c>
      <c r="X456" s="177">
        <f t="shared" si="189"/>
        <v>0</v>
      </c>
      <c r="Y456" s="177">
        <f t="shared" si="189"/>
        <v>0</v>
      </c>
      <c r="Z456" s="177">
        <f t="shared" si="189"/>
        <v>0</v>
      </c>
      <c r="AA456" s="177">
        <f t="shared" si="189"/>
        <v>0</v>
      </c>
      <c r="AB456" s="177">
        <f t="shared" si="189"/>
        <v>0</v>
      </c>
      <c r="AC456" s="177">
        <f t="shared" si="189"/>
        <v>0</v>
      </c>
      <c r="AD456" s="177">
        <f t="shared" si="189"/>
        <v>0</v>
      </c>
      <c r="AE456" s="177">
        <f t="shared" si="189"/>
        <v>0</v>
      </c>
      <c r="AF456" s="177">
        <f t="shared" si="189"/>
        <v>0</v>
      </c>
      <c r="AG456" s="177">
        <f t="shared" si="189"/>
        <v>0</v>
      </c>
      <c r="AH456" s="177">
        <f t="shared" si="189"/>
        <v>0</v>
      </c>
      <c r="AI456" s="177">
        <f t="shared" si="189"/>
        <v>0</v>
      </c>
      <c r="AJ456" s="177">
        <f t="shared" si="189"/>
        <v>0</v>
      </c>
      <c r="AK456" s="177">
        <f t="shared" si="189"/>
        <v>0</v>
      </c>
      <c r="AL456" s="177">
        <f t="shared" si="189"/>
        <v>0</v>
      </c>
      <c r="AM456" s="177">
        <f t="shared" si="189"/>
        <v>0</v>
      </c>
    </row>
    <row r="457" s="5" customFormat="1" ht="37.2" hidden="1" customHeight="1" spans="3:48">
      <c r="C457" s="228" t="s">
        <v>52</v>
      </c>
      <c r="D457" s="229"/>
      <c r="E457" s="229"/>
      <c r="F457" s="230"/>
      <c r="G457" s="233"/>
      <c r="H457" s="232" t="s">
        <v>111</v>
      </c>
      <c r="I457" s="176">
        <f t="shared" ref="I457:AM457" si="190">IFERROR(I455/I453,0)</f>
        <v>0</v>
      </c>
      <c r="J457" s="176">
        <f t="shared" si="190"/>
        <v>0</v>
      </c>
      <c r="K457" s="176">
        <f t="shared" si="190"/>
        <v>0</v>
      </c>
      <c r="L457" s="176">
        <f t="shared" si="190"/>
        <v>0</v>
      </c>
      <c r="M457" s="176">
        <f t="shared" si="190"/>
        <v>0</v>
      </c>
      <c r="N457" s="176">
        <f t="shared" si="190"/>
        <v>0</v>
      </c>
      <c r="O457" s="176">
        <f t="shared" si="190"/>
        <v>0</v>
      </c>
      <c r="P457" s="176">
        <f t="shared" si="190"/>
        <v>0</v>
      </c>
      <c r="Q457" s="176">
        <f t="shared" si="190"/>
        <v>0</v>
      </c>
      <c r="R457" s="176">
        <f t="shared" si="190"/>
        <v>0</v>
      </c>
      <c r="S457" s="176">
        <f t="shared" si="190"/>
        <v>0</v>
      </c>
      <c r="T457" s="176">
        <f t="shared" si="190"/>
        <v>0</v>
      </c>
      <c r="U457" s="176">
        <f t="shared" si="190"/>
        <v>0</v>
      </c>
      <c r="V457" s="176">
        <f t="shared" si="190"/>
        <v>0</v>
      </c>
      <c r="W457" s="176">
        <f t="shared" si="190"/>
        <v>0</v>
      </c>
      <c r="X457" s="176">
        <f t="shared" si="190"/>
        <v>0</v>
      </c>
      <c r="Y457" s="176">
        <f t="shared" si="190"/>
        <v>0</v>
      </c>
      <c r="Z457" s="176">
        <f t="shared" si="190"/>
        <v>0</v>
      </c>
      <c r="AA457" s="176">
        <f t="shared" si="190"/>
        <v>0</v>
      </c>
      <c r="AB457" s="176">
        <f t="shared" si="190"/>
        <v>0</v>
      </c>
      <c r="AC457" s="176">
        <f t="shared" si="190"/>
        <v>0</v>
      </c>
      <c r="AD457" s="176">
        <f t="shared" si="190"/>
        <v>0</v>
      </c>
      <c r="AE457" s="176">
        <f t="shared" si="190"/>
        <v>0</v>
      </c>
      <c r="AF457" s="176">
        <f t="shared" si="190"/>
        <v>0</v>
      </c>
      <c r="AG457" s="176">
        <f t="shared" si="190"/>
        <v>0</v>
      </c>
      <c r="AH457" s="176">
        <f t="shared" si="190"/>
        <v>0</v>
      </c>
      <c r="AI457" s="176">
        <f t="shared" si="190"/>
        <v>0</v>
      </c>
      <c r="AJ457" s="176">
        <f t="shared" si="190"/>
        <v>0</v>
      </c>
      <c r="AK457" s="176">
        <f t="shared" si="190"/>
        <v>0</v>
      </c>
      <c r="AL457" s="176">
        <f t="shared" si="190"/>
        <v>0</v>
      </c>
      <c r="AM457" s="176">
        <f t="shared" si="190"/>
        <v>0</v>
      </c>
    </row>
    <row r="458" ht="37.2" hidden="1" customHeight="1" spans="3:48">
      <c r="C458" s="214" t="s">
        <v>52</v>
      </c>
      <c r="D458" s="218"/>
      <c r="E458" s="219"/>
      <c r="F458" s="219"/>
      <c r="G458" s="216" t="s">
        <v>38</v>
      </c>
      <c r="H458" s="234" t="s">
        <v>107</v>
      </c>
      <c r="I458" s="242">
        <f>SUM(J458:HU458)</f>
        <v>23400</v>
      </c>
      <c r="J458" s="182">
        <v>1404</v>
      </c>
      <c r="K458" s="182">
        <v>702</v>
      </c>
      <c r="L458" s="182">
        <v>1170</v>
      </c>
      <c r="M458" s="182">
        <v>702</v>
      </c>
      <c r="N458" s="182">
        <v>468</v>
      </c>
      <c r="O458" s="182">
        <v>468</v>
      </c>
      <c r="P458" s="182">
        <v>468</v>
      </c>
      <c r="Q458" s="182">
        <v>468</v>
      </c>
      <c r="R458" s="182">
        <v>468</v>
      </c>
      <c r="S458" s="182">
        <v>468</v>
      </c>
      <c r="T458" s="182">
        <v>468</v>
      </c>
      <c r="U458" s="182">
        <v>234</v>
      </c>
      <c r="V458" s="182">
        <v>702</v>
      </c>
      <c r="W458" s="182">
        <v>1170</v>
      </c>
      <c r="X458" s="182">
        <v>1638</v>
      </c>
      <c r="Y458" s="182">
        <v>1872</v>
      </c>
      <c r="Z458" s="182">
        <v>1872</v>
      </c>
      <c r="AA458" s="182">
        <v>2340</v>
      </c>
      <c r="AB458" s="182">
        <v>702</v>
      </c>
      <c r="AC458" s="182">
        <v>936</v>
      </c>
      <c r="AD458" s="182">
        <v>468</v>
      </c>
      <c r="AE458" s="182">
        <v>468</v>
      </c>
      <c r="AF458" s="182">
        <v>468</v>
      </c>
      <c r="AG458" s="182">
        <v>468</v>
      </c>
      <c r="AH458" s="182">
        <v>468</v>
      </c>
      <c r="AI458" s="182">
        <v>468</v>
      </c>
      <c r="AJ458" s="182">
        <v>468</v>
      </c>
      <c r="AK458" s="182">
        <v>468</v>
      </c>
      <c r="AL458" s="182">
        <v>468</v>
      </c>
      <c r="AM458" s="182">
        <v>468</v>
      </c>
      <c r="AN458" s="11"/>
      <c r="AO458" s="15"/>
      <c r="AP458" s="15"/>
      <c r="AQ458" s="15"/>
      <c r="AR458" s="15"/>
      <c r="AS458" s="15"/>
      <c r="AT458" s="15"/>
      <c r="AU458" s="15"/>
      <c r="AV458" s="15"/>
    </row>
    <row r="459" ht="37.2" hidden="1" customHeight="1" spans="3:48">
      <c r="C459" s="214" t="s">
        <v>52</v>
      </c>
      <c r="D459" s="218"/>
      <c r="E459" s="218"/>
      <c r="F459" s="219"/>
      <c r="G459" s="220"/>
      <c r="H459" s="234" t="s">
        <v>109</v>
      </c>
      <c r="I459" s="240" t="e">
        <f>SUM(J459:HU459)</f>
        <v>#REF!</v>
      </c>
      <c r="J459" s="235" t="e">
        <f t="shared" ref="J459:AM459" si="191">J450+J455</f>
        <v>#REF!</v>
      </c>
      <c r="K459" s="235" t="e">
        <f t="shared" si="191"/>
        <v>#REF!</v>
      </c>
      <c r="L459" s="235" t="e">
        <f t="shared" si="191"/>
        <v>#REF!</v>
      </c>
      <c r="M459" s="235" t="e">
        <f t="shared" si="191"/>
        <v>#REF!</v>
      </c>
      <c r="N459" s="235" t="e">
        <f t="shared" si="191"/>
        <v>#REF!</v>
      </c>
      <c r="O459" s="235" t="e">
        <f t="shared" si="191"/>
        <v>#REF!</v>
      </c>
      <c r="P459" s="235" t="e">
        <f t="shared" si="191"/>
        <v>#REF!</v>
      </c>
      <c r="Q459" s="235" t="e">
        <f t="shared" si="191"/>
        <v>#REF!</v>
      </c>
      <c r="R459" s="235" t="e">
        <f t="shared" si="191"/>
        <v>#REF!</v>
      </c>
      <c r="S459" s="235" t="e">
        <f t="shared" si="191"/>
        <v>#REF!</v>
      </c>
      <c r="T459" s="235" t="e">
        <f t="shared" si="191"/>
        <v>#REF!</v>
      </c>
      <c r="U459" s="235" t="e">
        <f t="shared" si="191"/>
        <v>#REF!</v>
      </c>
      <c r="V459" s="235" t="e">
        <f t="shared" si="191"/>
        <v>#REF!</v>
      </c>
      <c r="W459" s="235" t="e">
        <f t="shared" si="191"/>
        <v>#REF!</v>
      </c>
      <c r="X459" s="235" t="e">
        <f t="shared" si="191"/>
        <v>#REF!</v>
      </c>
      <c r="Y459" s="235" t="e">
        <f t="shared" si="191"/>
        <v>#REF!</v>
      </c>
      <c r="Z459" s="235" t="e">
        <f t="shared" si="191"/>
        <v>#REF!</v>
      </c>
      <c r="AA459" s="235" t="e">
        <f t="shared" si="191"/>
        <v>#REF!</v>
      </c>
      <c r="AB459" s="235" t="e">
        <f t="shared" si="191"/>
        <v>#REF!</v>
      </c>
      <c r="AC459" s="235" t="e">
        <f t="shared" si="191"/>
        <v>#REF!</v>
      </c>
      <c r="AD459" s="235" t="e">
        <f t="shared" si="191"/>
        <v>#REF!</v>
      </c>
      <c r="AE459" s="235" t="e">
        <f t="shared" si="191"/>
        <v>#REF!</v>
      </c>
      <c r="AF459" s="235" t="e">
        <f t="shared" si="191"/>
        <v>#REF!</v>
      </c>
      <c r="AG459" s="235" t="e">
        <f t="shared" si="191"/>
        <v>#REF!</v>
      </c>
      <c r="AH459" s="235" t="e">
        <f t="shared" si="191"/>
        <v>#REF!</v>
      </c>
      <c r="AI459" s="235" t="e">
        <f t="shared" si="191"/>
        <v>#REF!</v>
      </c>
      <c r="AJ459" s="235" t="e">
        <f t="shared" si="191"/>
        <v>#REF!</v>
      </c>
      <c r="AK459" s="235" t="e">
        <f t="shared" si="191"/>
        <v>#REF!</v>
      </c>
      <c r="AL459" s="235" t="e">
        <f t="shared" si="191"/>
        <v>#REF!</v>
      </c>
      <c r="AM459" s="235" t="e">
        <f t="shared" si="191"/>
        <v>#REF!</v>
      </c>
      <c r="AN459" s="15"/>
      <c r="AO459" s="15"/>
      <c r="AP459" s="15"/>
      <c r="AQ459" s="15"/>
      <c r="AR459" s="15"/>
      <c r="AS459" s="15"/>
      <c r="AT459" s="15"/>
      <c r="AU459" s="15"/>
      <c r="AV459" s="15"/>
    </row>
    <row r="460" s="5" customFormat="1" ht="44.25" hidden="1" customHeight="1" spans="3:48">
      <c r="C460" s="228" t="s">
        <v>52</v>
      </c>
      <c r="D460" s="236"/>
      <c r="E460" s="236"/>
      <c r="F460" s="237"/>
      <c r="G460" s="233"/>
      <c r="H460" s="243" t="s">
        <v>111</v>
      </c>
      <c r="I460" s="176">
        <f t="shared" ref="I460:AM460" si="192">IFERROR(I459/I458,0)</f>
        <v>0</v>
      </c>
      <c r="J460" s="176">
        <f t="shared" si="192"/>
        <v>0</v>
      </c>
      <c r="K460" s="176">
        <f t="shared" si="192"/>
        <v>0</v>
      </c>
      <c r="L460" s="176">
        <f t="shared" si="192"/>
        <v>0</v>
      </c>
      <c r="M460" s="176">
        <f t="shared" si="192"/>
        <v>0</v>
      </c>
      <c r="N460" s="176">
        <f t="shared" si="192"/>
        <v>0</v>
      </c>
      <c r="O460" s="176">
        <f t="shared" si="192"/>
        <v>0</v>
      </c>
      <c r="P460" s="176">
        <f t="shared" si="192"/>
        <v>0</v>
      </c>
      <c r="Q460" s="176">
        <f t="shared" si="192"/>
        <v>0</v>
      </c>
      <c r="R460" s="176">
        <f t="shared" si="192"/>
        <v>0</v>
      </c>
      <c r="S460" s="176">
        <f t="shared" si="192"/>
        <v>0</v>
      </c>
      <c r="T460" s="176">
        <f t="shared" si="192"/>
        <v>0</v>
      </c>
      <c r="U460" s="176">
        <f t="shared" si="192"/>
        <v>0</v>
      </c>
      <c r="V460" s="176">
        <f t="shared" si="192"/>
        <v>0</v>
      </c>
      <c r="W460" s="176">
        <f t="shared" si="192"/>
        <v>0</v>
      </c>
      <c r="X460" s="176">
        <f t="shared" si="192"/>
        <v>0</v>
      </c>
      <c r="Y460" s="176">
        <f t="shared" si="192"/>
        <v>0</v>
      </c>
      <c r="Z460" s="176">
        <f t="shared" si="192"/>
        <v>0</v>
      </c>
      <c r="AA460" s="176">
        <f t="shared" si="192"/>
        <v>0</v>
      </c>
      <c r="AB460" s="176">
        <f t="shared" si="192"/>
        <v>0</v>
      </c>
      <c r="AC460" s="176">
        <f t="shared" si="192"/>
        <v>0</v>
      </c>
      <c r="AD460" s="176">
        <f t="shared" si="192"/>
        <v>0</v>
      </c>
      <c r="AE460" s="176">
        <f t="shared" si="192"/>
        <v>0</v>
      </c>
      <c r="AF460" s="176">
        <f t="shared" si="192"/>
        <v>0</v>
      </c>
      <c r="AG460" s="176">
        <f t="shared" si="192"/>
        <v>0</v>
      </c>
      <c r="AH460" s="176">
        <f t="shared" si="192"/>
        <v>0</v>
      </c>
      <c r="AI460" s="176">
        <f t="shared" si="192"/>
        <v>0</v>
      </c>
      <c r="AJ460" s="176">
        <f t="shared" si="192"/>
        <v>0</v>
      </c>
      <c r="AK460" s="176">
        <f t="shared" si="192"/>
        <v>0</v>
      </c>
      <c r="AL460" s="176">
        <f t="shared" si="192"/>
        <v>0</v>
      </c>
      <c r="AM460" s="176">
        <f t="shared" si="192"/>
        <v>0</v>
      </c>
    </row>
    <row r="461" ht="44.25" hidden="1" customHeight="1" spans="3:48">
      <c r="C461" s="214" t="s">
        <v>52</v>
      </c>
      <c r="D461" s="244" t="s">
        <v>38</v>
      </c>
      <c r="E461" s="245"/>
      <c r="F461" s="245"/>
      <c r="G461" s="246" t="s">
        <v>106</v>
      </c>
      <c r="H461" s="221" t="s">
        <v>107</v>
      </c>
      <c r="I461" s="182">
        <f>SUM(J461:HU461)</f>
        <v>0</v>
      </c>
      <c r="J461" s="182"/>
      <c r="K461" s="182"/>
      <c r="L461" s="182"/>
      <c r="M461" s="182"/>
      <c r="N461" s="182"/>
      <c r="O461" s="182"/>
      <c r="P461" s="182"/>
      <c r="Q461" s="182"/>
      <c r="R461" s="182"/>
      <c r="S461" s="182"/>
      <c r="T461" s="182"/>
      <c r="U461" s="182"/>
      <c r="V461" s="182"/>
      <c r="W461" s="182"/>
      <c r="X461" s="182"/>
      <c r="Y461" s="182"/>
      <c r="Z461" s="182"/>
      <c r="AA461" s="182"/>
      <c r="AB461" s="182"/>
      <c r="AC461" s="182"/>
      <c r="AD461" s="182"/>
      <c r="AE461" s="182"/>
      <c r="AF461" s="182"/>
      <c r="AG461" s="182"/>
      <c r="AH461" s="182"/>
      <c r="AI461" s="182"/>
      <c r="AJ461" s="182"/>
      <c r="AK461" s="182"/>
      <c r="AL461" s="182"/>
      <c r="AM461" s="182"/>
      <c r="AN461" s="247"/>
      <c r="AO461" s="15"/>
      <c r="AP461" s="15"/>
      <c r="AQ461" s="15"/>
      <c r="AR461" s="15"/>
      <c r="AS461" s="15"/>
      <c r="AT461" s="15"/>
      <c r="AU461" s="15"/>
      <c r="AV461" s="15"/>
    </row>
    <row r="462" ht="44.25" hidden="1" customHeight="1" spans="3:48">
      <c r="C462" s="214" t="s">
        <v>52</v>
      </c>
      <c r="D462" s="248"/>
      <c r="E462" s="248"/>
      <c r="F462" s="248"/>
      <c r="G462" s="220"/>
      <c r="H462" s="221" t="s">
        <v>108</v>
      </c>
      <c r="I462" s="177">
        <v>0.54</v>
      </c>
      <c r="J462" s="177">
        <v>0.54</v>
      </c>
      <c r="K462" s="177">
        <v>0.54</v>
      </c>
      <c r="L462" s="177">
        <v>0.54</v>
      </c>
      <c r="M462" s="177">
        <v>0.54</v>
      </c>
      <c r="N462" s="177">
        <v>0.54</v>
      </c>
      <c r="O462" s="177">
        <v>0.54</v>
      </c>
      <c r="P462" s="177">
        <v>0.54</v>
      </c>
      <c r="Q462" s="177">
        <v>0.54</v>
      </c>
      <c r="R462" s="177">
        <v>0.54</v>
      </c>
      <c r="S462" s="177">
        <v>0.54</v>
      </c>
      <c r="T462" s="177">
        <v>0.54</v>
      </c>
      <c r="U462" s="177">
        <v>0.54</v>
      </c>
      <c r="V462" s="177">
        <v>0.54</v>
      </c>
      <c r="W462" s="177">
        <v>0.54</v>
      </c>
      <c r="X462" s="177">
        <v>0.54</v>
      </c>
      <c r="Y462" s="177">
        <v>0.54</v>
      </c>
      <c r="Z462" s="177">
        <v>0.54</v>
      </c>
      <c r="AA462" s="177">
        <v>0.54</v>
      </c>
      <c r="AB462" s="177">
        <v>0.54</v>
      </c>
      <c r="AC462" s="177">
        <v>0.54</v>
      </c>
      <c r="AD462" s="177">
        <v>0.54</v>
      </c>
      <c r="AE462" s="177">
        <v>0.54</v>
      </c>
      <c r="AF462" s="177">
        <v>0.54</v>
      </c>
      <c r="AG462" s="177">
        <v>0.54</v>
      </c>
      <c r="AH462" s="177">
        <v>0.54</v>
      </c>
      <c r="AI462" s="177">
        <v>0.54</v>
      </c>
      <c r="AJ462" s="177">
        <v>0.54</v>
      </c>
      <c r="AK462" s="177">
        <v>0.54</v>
      </c>
      <c r="AL462" s="177">
        <v>0.54</v>
      </c>
      <c r="AM462" s="177">
        <v>0.54</v>
      </c>
      <c r="AN462" s="15"/>
      <c r="AO462" s="15"/>
      <c r="AP462" s="15"/>
      <c r="AQ462" s="15"/>
      <c r="AR462" s="15"/>
      <c r="AS462" s="15"/>
      <c r="AT462" s="15"/>
      <c r="AU462" s="15"/>
      <c r="AV462" s="15"/>
    </row>
    <row r="463" ht="44.25" hidden="1" customHeight="1" spans="3:48">
      <c r="C463" s="214" t="s">
        <v>52</v>
      </c>
      <c r="D463" s="248"/>
      <c r="E463" s="248"/>
      <c r="F463" s="248"/>
      <c r="G463" s="220"/>
      <c r="H463" s="234" t="s">
        <v>109</v>
      </c>
      <c r="I463" s="227" t="e">
        <f>SUM(J463:HU463)</f>
        <v>#REF!</v>
      </c>
      <c r="J463" s="235" t="e">
        <f t="shared" ref="J463:AM463" si="193">J388+J406+J419+J437+J450</f>
        <v>#REF!</v>
      </c>
      <c r="K463" s="235" t="e">
        <f t="shared" si="193"/>
        <v>#REF!</v>
      </c>
      <c r="L463" s="235" t="e">
        <f t="shared" si="193"/>
        <v>#REF!</v>
      </c>
      <c r="M463" s="235" t="e">
        <f t="shared" si="193"/>
        <v>#REF!</v>
      </c>
      <c r="N463" s="235" t="e">
        <f t="shared" si="193"/>
        <v>#REF!</v>
      </c>
      <c r="O463" s="235" t="e">
        <f t="shared" si="193"/>
        <v>#REF!</v>
      </c>
      <c r="P463" s="235" t="e">
        <f t="shared" si="193"/>
        <v>#REF!</v>
      </c>
      <c r="Q463" s="235" t="e">
        <f t="shared" si="193"/>
        <v>#REF!</v>
      </c>
      <c r="R463" s="235" t="e">
        <f t="shared" si="193"/>
        <v>#REF!</v>
      </c>
      <c r="S463" s="235" t="e">
        <f t="shared" si="193"/>
        <v>#REF!</v>
      </c>
      <c r="T463" s="235" t="e">
        <f t="shared" si="193"/>
        <v>#REF!</v>
      </c>
      <c r="U463" s="235" t="e">
        <f t="shared" si="193"/>
        <v>#REF!</v>
      </c>
      <c r="V463" s="235" t="e">
        <f t="shared" si="193"/>
        <v>#REF!</v>
      </c>
      <c r="W463" s="235" t="e">
        <f t="shared" si="193"/>
        <v>#REF!</v>
      </c>
      <c r="X463" s="235" t="e">
        <f t="shared" si="193"/>
        <v>#REF!</v>
      </c>
      <c r="Y463" s="235" t="e">
        <f t="shared" si="193"/>
        <v>#REF!</v>
      </c>
      <c r="Z463" s="235" t="e">
        <f t="shared" si="193"/>
        <v>#REF!</v>
      </c>
      <c r="AA463" s="235" t="e">
        <f t="shared" si="193"/>
        <v>#REF!</v>
      </c>
      <c r="AB463" s="235" t="e">
        <f t="shared" si="193"/>
        <v>#REF!</v>
      </c>
      <c r="AC463" s="235" t="e">
        <f t="shared" si="193"/>
        <v>#REF!</v>
      </c>
      <c r="AD463" s="235" t="e">
        <f t="shared" si="193"/>
        <v>#REF!</v>
      </c>
      <c r="AE463" s="235" t="e">
        <f t="shared" si="193"/>
        <v>#REF!</v>
      </c>
      <c r="AF463" s="235" t="e">
        <f t="shared" si="193"/>
        <v>#REF!</v>
      </c>
      <c r="AG463" s="235" t="e">
        <f t="shared" si="193"/>
        <v>#REF!</v>
      </c>
      <c r="AH463" s="235" t="e">
        <f t="shared" si="193"/>
        <v>#REF!</v>
      </c>
      <c r="AI463" s="235" t="e">
        <f t="shared" si="193"/>
        <v>#REF!</v>
      </c>
      <c r="AJ463" s="235" t="e">
        <f t="shared" si="193"/>
        <v>#REF!</v>
      </c>
      <c r="AK463" s="235" t="e">
        <f t="shared" si="193"/>
        <v>#REF!</v>
      </c>
      <c r="AL463" s="235" t="e">
        <f t="shared" si="193"/>
        <v>#REF!</v>
      </c>
      <c r="AM463" s="235" t="e">
        <f t="shared" si="193"/>
        <v>#REF!</v>
      </c>
      <c r="AN463" s="15"/>
      <c r="AO463" s="15"/>
      <c r="AP463" s="15"/>
      <c r="AQ463" s="15"/>
      <c r="AR463" s="15"/>
      <c r="AS463" s="15"/>
      <c r="AT463" s="15"/>
      <c r="AU463" s="15"/>
      <c r="AV463" s="15"/>
    </row>
    <row r="464" s="5" customFormat="1" ht="44.25" hidden="1" customHeight="1" spans="3:48">
      <c r="C464" s="228" t="s">
        <v>52</v>
      </c>
      <c r="D464" s="249"/>
      <c r="E464" s="249"/>
      <c r="F464" s="249"/>
      <c r="G464" s="231"/>
      <c r="H464" s="232" t="s">
        <v>110</v>
      </c>
      <c r="I464" s="177">
        <f t="shared" ref="I464:AM464" si="194">IFERROR(I463/I$477,0)</f>
        <v>0</v>
      </c>
      <c r="J464" s="177">
        <f t="shared" si="194"/>
        <v>0</v>
      </c>
      <c r="K464" s="177">
        <f t="shared" si="194"/>
        <v>0</v>
      </c>
      <c r="L464" s="177">
        <f t="shared" si="194"/>
        <v>0</v>
      </c>
      <c r="M464" s="177">
        <f t="shared" si="194"/>
        <v>0</v>
      </c>
      <c r="N464" s="177">
        <f t="shared" si="194"/>
        <v>0</v>
      </c>
      <c r="O464" s="177">
        <f t="shared" si="194"/>
        <v>0</v>
      </c>
      <c r="P464" s="177">
        <f t="shared" si="194"/>
        <v>0</v>
      </c>
      <c r="Q464" s="177">
        <f t="shared" si="194"/>
        <v>0</v>
      </c>
      <c r="R464" s="177">
        <f t="shared" si="194"/>
        <v>0</v>
      </c>
      <c r="S464" s="177">
        <f t="shared" si="194"/>
        <v>0</v>
      </c>
      <c r="T464" s="177">
        <f t="shared" si="194"/>
        <v>0</v>
      </c>
      <c r="U464" s="177">
        <f t="shared" si="194"/>
        <v>0</v>
      </c>
      <c r="V464" s="177">
        <f t="shared" si="194"/>
        <v>0</v>
      </c>
      <c r="W464" s="177">
        <f t="shared" si="194"/>
        <v>0</v>
      </c>
      <c r="X464" s="177">
        <f t="shared" si="194"/>
        <v>0</v>
      </c>
      <c r="Y464" s="177">
        <f t="shared" si="194"/>
        <v>0</v>
      </c>
      <c r="Z464" s="177">
        <f t="shared" si="194"/>
        <v>0</v>
      </c>
      <c r="AA464" s="177">
        <f t="shared" si="194"/>
        <v>0</v>
      </c>
      <c r="AB464" s="177">
        <f t="shared" si="194"/>
        <v>0</v>
      </c>
      <c r="AC464" s="177">
        <f t="shared" si="194"/>
        <v>0</v>
      </c>
      <c r="AD464" s="177">
        <f t="shared" si="194"/>
        <v>0</v>
      </c>
      <c r="AE464" s="177">
        <f t="shared" si="194"/>
        <v>0</v>
      </c>
      <c r="AF464" s="177">
        <f t="shared" si="194"/>
        <v>0</v>
      </c>
      <c r="AG464" s="177">
        <f t="shared" si="194"/>
        <v>0</v>
      </c>
      <c r="AH464" s="177">
        <f t="shared" si="194"/>
        <v>0</v>
      </c>
      <c r="AI464" s="177">
        <f t="shared" si="194"/>
        <v>0</v>
      </c>
      <c r="AJ464" s="177">
        <f t="shared" si="194"/>
        <v>0</v>
      </c>
      <c r="AK464" s="177">
        <f t="shared" si="194"/>
        <v>0</v>
      </c>
      <c r="AL464" s="177">
        <f t="shared" si="194"/>
        <v>0</v>
      </c>
      <c r="AM464" s="177">
        <f t="shared" si="194"/>
        <v>0</v>
      </c>
    </row>
    <row r="465" s="5" customFormat="1" ht="44.25" hidden="1" customHeight="1" spans="3:48">
      <c r="C465" s="228" t="s">
        <v>52</v>
      </c>
      <c r="D465" s="249"/>
      <c r="E465" s="249"/>
      <c r="F465" s="249"/>
      <c r="G465" s="233"/>
      <c r="H465" s="232" t="s">
        <v>111</v>
      </c>
      <c r="I465" s="176">
        <f t="shared" ref="I465:AM465" si="195">IFERROR(I463/I461,0)</f>
        <v>0</v>
      </c>
      <c r="J465" s="176">
        <f t="shared" si="195"/>
        <v>0</v>
      </c>
      <c r="K465" s="176">
        <f t="shared" si="195"/>
        <v>0</v>
      </c>
      <c r="L465" s="176">
        <f t="shared" si="195"/>
        <v>0</v>
      </c>
      <c r="M465" s="176">
        <f t="shared" si="195"/>
        <v>0</v>
      </c>
      <c r="N465" s="176">
        <f t="shared" si="195"/>
        <v>0</v>
      </c>
      <c r="O465" s="176">
        <f t="shared" si="195"/>
        <v>0</v>
      </c>
      <c r="P465" s="176">
        <f t="shared" si="195"/>
        <v>0</v>
      </c>
      <c r="Q465" s="176">
        <f t="shared" si="195"/>
        <v>0</v>
      </c>
      <c r="R465" s="176">
        <f t="shared" si="195"/>
        <v>0</v>
      </c>
      <c r="S465" s="176">
        <f t="shared" si="195"/>
        <v>0</v>
      </c>
      <c r="T465" s="176">
        <f t="shared" si="195"/>
        <v>0</v>
      </c>
      <c r="U465" s="176">
        <f t="shared" si="195"/>
        <v>0</v>
      </c>
      <c r="V465" s="176">
        <f t="shared" si="195"/>
        <v>0</v>
      </c>
      <c r="W465" s="176">
        <f t="shared" si="195"/>
        <v>0</v>
      </c>
      <c r="X465" s="176">
        <f t="shared" si="195"/>
        <v>0</v>
      </c>
      <c r="Y465" s="176">
        <f t="shared" si="195"/>
        <v>0</v>
      </c>
      <c r="Z465" s="176">
        <f t="shared" si="195"/>
        <v>0</v>
      </c>
      <c r="AA465" s="176">
        <f t="shared" si="195"/>
        <v>0</v>
      </c>
      <c r="AB465" s="176">
        <f t="shared" si="195"/>
        <v>0</v>
      </c>
      <c r="AC465" s="176">
        <f t="shared" si="195"/>
        <v>0</v>
      </c>
      <c r="AD465" s="176">
        <f t="shared" si="195"/>
        <v>0</v>
      </c>
      <c r="AE465" s="176">
        <f t="shared" si="195"/>
        <v>0</v>
      </c>
      <c r="AF465" s="176">
        <f t="shared" si="195"/>
        <v>0</v>
      </c>
      <c r="AG465" s="176">
        <f t="shared" si="195"/>
        <v>0</v>
      </c>
      <c r="AH465" s="176">
        <f t="shared" si="195"/>
        <v>0</v>
      </c>
      <c r="AI465" s="176">
        <f t="shared" si="195"/>
        <v>0</v>
      </c>
      <c r="AJ465" s="176">
        <f t="shared" si="195"/>
        <v>0</v>
      </c>
      <c r="AK465" s="176">
        <f t="shared" si="195"/>
        <v>0</v>
      </c>
      <c r="AL465" s="176">
        <f t="shared" si="195"/>
        <v>0</v>
      </c>
      <c r="AM465" s="176">
        <f t="shared" si="195"/>
        <v>0</v>
      </c>
    </row>
    <row r="466" ht="44.25" hidden="1" customHeight="1" spans="3:48">
      <c r="C466" s="214" t="s">
        <v>52</v>
      </c>
      <c r="D466" s="248"/>
      <c r="E466" s="248"/>
      <c r="F466" s="248"/>
      <c r="G466" s="246" t="s">
        <v>112</v>
      </c>
      <c r="H466" s="221" t="s">
        <v>107</v>
      </c>
      <c r="I466" s="182">
        <f>SUM(J466:HU466)</f>
        <v>0</v>
      </c>
      <c r="J466" s="182"/>
      <c r="K466" s="182"/>
      <c r="L466" s="182"/>
      <c r="M466" s="182"/>
      <c r="N466" s="182"/>
      <c r="O466" s="182"/>
      <c r="P466" s="182"/>
      <c r="Q466" s="182"/>
      <c r="R466" s="182"/>
      <c r="S466" s="182"/>
      <c r="T466" s="182"/>
      <c r="U466" s="182"/>
      <c r="V466" s="182"/>
      <c r="W466" s="182"/>
      <c r="X466" s="182"/>
      <c r="Y466" s="182"/>
      <c r="Z466" s="182"/>
      <c r="AA466" s="182"/>
      <c r="AB466" s="182"/>
      <c r="AC466" s="182"/>
      <c r="AD466" s="182"/>
      <c r="AE466" s="182"/>
      <c r="AF466" s="182"/>
      <c r="AG466" s="182"/>
      <c r="AH466" s="182"/>
      <c r="AI466" s="182"/>
      <c r="AJ466" s="182"/>
      <c r="AK466" s="182"/>
      <c r="AL466" s="182"/>
      <c r="AM466" s="182"/>
      <c r="AN466" s="250"/>
      <c r="AO466" s="15"/>
      <c r="AP466" s="15"/>
      <c r="AQ466" s="15"/>
      <c r="AR466" s="15"/>
      <c r="AS466" s="15"/>
      <c r="AT466" s="15"/>
      <c r="AU466" s="15"/>
      <c r="AV466" s="15"/>
    </row>
    <row r="467" ht="44.25" hidden="1" customHeight="1" spans="3:48">
      <c r="C467" s="214" t="s">
        <v>52</v>
      </c>
      <c r="D467" s="248"/>
      <c r="E467" s="248"/>
      <c r="F467" s="248"/>
      <c r="G467" s="220"/>
      <c r="H467" s="221" t="s">
        <v>108</v>
      </c>
      <c r="I467" s="177">
        <v>0.34</v>
      </c>
      <c r="J467" s="177">
        <v>0.34</v>
      </c>
      <c r="K467" s="177">
        <v>0.34</v>
      </c>
      <c r="L467" s="177">
        <v>0.34</v>
      </c>
      <c r="M467" s="177">
        <v>0.34</v>
      </c>
      <c r="N467" s="177">
        <v>0.34</v>
      </c>
      <c r="O467" s="177">
        <v>0.34</v>
      </c>
      <c r="P467" s="177">
        <v>0.34</v>
      </c>
      <c r="Q467" s="177">
        <v>0.34</v>
      </c>
      <c r="R467" s="177">
        <v>0.34</v>
      </c>
      <c r="S467" s="177">
        <v>0.34</v>
      </c>
      <c r="T467" s="177">
        <v>0.34</v>
      </c>
      <c r="U467" s="177">
        <v>0.34</v>
      </c>
      <c r="V467" s="177">
        <v>0.34</v>
      </c>
      <c r="W467" s="177">
        <v>0.34</v>
      </c>
      <c r="X467" s="177">
        <v>0.34</v>
      </c>
      <c r="Y467" s="177">
        <v>0.34</v>
      </c>
      <c r="Z467" s="177">
        <v>0.34</v>
      </c>
      <c r="AA467" s="177">
        <v>0.34</v>
      </c>
      <c r="AB467" s="177">
        <v>0.34</v>
      </c>
      <c r="AC467" s="177">
        <v>0.34</v>
      </c>
      <c r="AD467" s="177">
        <v>0.34</v>
      </c>
      <c r="AE467" s="177">
        <v>0.34</v>
      </c>
      <c r="AF467" s="177">
        <v>0.34</v>
      </c>
      <c r="AG467" s="177">
        <v>0.34</v>
      </c>
      <c r="AH467" s="177">
        <v>0.34</v>
      </c>
      <c r="AI467" s="177">
        <v>0.34</v>
      </c>
      <c r="AJ467" s="177">
        <v>0.34</v>
      </c>
      <c r="AK467" s="177">
        <v>0.34</v>
      </c>
      <c r="AL467" s="177">
        <v>0.34</v>
      </c>
      <c r="AM467" s="177">
        <v>0.34</v>
      </c>
      <c r="AN467" s="15"/>
      <c r="AO467" s="15"/>
      <c r="AP467" s="15"/>
      <c r="AQ467" s="15"/>
      <c r="AR467" s="15"/>
      <c r="AS467" s="15"/>
      <c r="AT467" s="15"/>
      <c r="AU467" s="15"/>
      <c r="AV467" s="15"/>
    </row>
    <row r="468" ht="44.25" hidden="1" customHeight="1" spans="3:48">
      <c r="C468" s="214" t="s">
        <v>52</v>
      </c>
      <c r="D468" s="248"/>
      <c r="E468" s="248"/>
      <c r="F468" s="248"/>
      <c r="G468" s="220"/>
      <c r="H468" s="234" t="s">
        <v>109</v>
      </c>
      <c r="I468" s="227" t="e">
        <f>SUM(J468:HU468)</f>
        <v>#REF!</v>
      </c>
      <c r="J468" s="235" t="e">
        <f t="shared" ref="J468:AM468" si="196">J393+J411+J424+J442+J455</f>
        <v>#REF!</v>
      </c>
      <c r="K468" s="235" t="e">
        <f t="shared" si="196"/>
        <v>#REF!</v>
      </c>
      <c r="L468" s="235" t="e">
        <f t="shared" si="196"/>
        <v>#REF!</v>
      </c>
      <c r="M468" s="235" t="e">
        <f t="shared" si="196"/>
        <v>#REF!</v>
      </c>
      <c r="N468" s="235" t="e">
        <f t="shared" si="196"/>
        <v>#REF!</v>
      </c>
      <c r="O468" s="235" t="e">
        <f t="shared" si="196"/>
        <v>#REF!</v>
      </c>
      <c r="P468" s="235" t="e">
        <f t="shared" si="196"/>
        <v>#REF!</v>
      </c>
      <c r="Q468" s="235" t="e">
        <f t="shared" si="196"/>
        <v>#REF!</v>
      </c>
      <c r="R468" s="235" t="e">
        <f t="shared" si="196"/>
        <v>#REF!</v>
      </c>
      <c r="S468" s="235" t="e">
        <f t="shared" si="196"/>
        <v>#REF!</v>
      </c>
      <c r="T468" s="235" t="e">
        <f t="shared" si="196"/>
        <v>#REF!</v>
      </c>
      <c r="U468" s="235" t="e">
        <f t="shared" si="196"/>
        <v>#REF!</v>
      </c>
      <c r="V468" s="235" t="e">
        <f t="shared" si="196"/>
        <v>#REF!</v>
      </c>
      <c r="W468" s="235" t="e">
        <f t="shared" si="196"/>
        <v>#REF!</v>
      </c>
      <c r="X468" s="235" t="e">
        <f t="shared" si="196"/>
        <v>#REF!</v>
      </c>
      <c r="Y468" s="235" t="e">
        <f t="shared" si="196"/>
        <v>#REF!</v>
      </c>
      <c r="Z468" s="235" t="e">
        <f t="shared" si="196"/>
        <v>#REF!</v>
      </c>
      <c r="AA468" s="235" t="e">
        <f t="shared" si="196"/>
        <v>#REF!</v>
      </c>
      <c r="AB468" s="235" t="e">
        <f t="shared" si="196"/>
        <v>#REF!</v>
      </c>
      <c r="AC468" s="235" t="e">
        <f t="shared" si="196"/>
        <v>#REF!</v>
      </c>
      <c r="AD468" s="235" t="e">
        <f t="shared" si="196"/>
        <v>#REF!</v>
      </c>
      <c r="AE468" s="235" t="e">
        <f t="shared" si="196"/>
        <v>#REF!</v>
      </c>
      <c r="AF468" s="235" t="e">
        <f t="shared" si="196"/>
        <v>#REF!</v>
      </c>
      <c r="AG468" s="235" t="e">
        <f t="shared" si="196"/>
        <v>#REF!</v>
      </c>
      <c r="AH468" s="235" t="e">
        <f t="shared" si="196"/>
        <v>#REF!</v>
      </c>
      <c r="AI468" s="235" t="e">
        <f t="shared" si="196"/>
        <v>#REF!</v>
      </c>
      <c r="AJ468" s="235" t="e">
        <f t="shared" si="196"/>
        <v>#REF!</v>
      </c>
      <c r="AK468" s="235" t="e">
        <f t="shared" si="196"/>
        <v>#REF!</v>
      </c>
      <c r="AL468" s="235" t="e">
        <f t="shared" si="196"/>
        <v>#REF!</v>
      </c>
      <c r="AM468" s="235" t="e">
        <f t="shared" si="196"/>
        <v>#REF!</v>
      </c>
      <c r="AN468" s="15"/>
      <c r="AO468" s="15"/>
      <c r="AP468" s="15"/>
      <c r="AQ468" s="15"/>
      <c r="AR468" s="15"/>
      <c r="AS468" s="15"/>
      <c r="AT468" s="15"/>
      <c r="AU468" s="15"/>
      <c r="AV468" s="15"/>
    </row>
    <row r="469" s="5" customFormat="1" ht="44.25" hidden="1" customHeight="1" spans="3:48">
      <c r="C469" s="228" t="s">
        <v>52</v>
      </c>
      <c r="D469" s="249"/>
      <c r="E469" s="249"/>
      <c r="F469" s="249"/>
      <c r="G469" s="231"/>
      <c r="H469" s="232" t="s">
        <v>110</v>
      </c>
      <c r="I469" s="177">
        <f t="shared" ref="I469:AM469" si="197">IFERROR(I468/I$477,0)</f>
        <v>0</v>
      </c>
      <c r="J469" s="177">
        <f t="shared" si="197"/>
        <v>0</v>
      </c>
      <c r="K469" s="177">
        <f t="shared" si="197"/>
        <v>0</v>
      </c>
      <c r="L469" s="177">
        <f t="shared" si="197"/>
        <v>0</v>
      </c>
      <c r="M469" s="177">
        <f t="shared" si="197"/>
        <v>0</v>
      </c>
      <c r="N469" s="177">
        <f t="shared" si="197"/>
        <v>0</v>
      </c>
      <c r="O469" s="177">
        <f t="shared" si="197"/>
        <v>0</v>
      </c>
      <c r="P469" s="177">
        <f t="shared" si="197"/>
        <v>0</v>
      </c>
      <c r="Q469" s="177">
        <f t="shared" si="197"/>
        <v>0</v>
      </c>
      <c r="R469" s="177">
        <f t="shared" si="197"/>
        <v>0</v>
      </c>
      <c r="S469" s="177">
        <f t="shared" si="197"/>
        <v>0</v>
      </c>
      <c r="T469" s="177">
        <f t="shared" si="197"/>
        <v>0</v>
      </c>
      <c r="U469" s="177">
        <f t="shared" si="197"/>
        <v>0</v>
      </c>
      <c r="V469" s="177">
        <f t="shared" si="197"/>
        <v>0</v>
      </c>
      <c r="W469" s="177">
        <f t="shared" si="197"/>
        <v>0</v>
      </c>
      <c r="X469" s="177">
        <f t="shared" si="197"/>
        <v>0</v>
      </c>
      <c r="Y469" s="177">
        <f t="shared" si="197"/>
        <v>0</v>
      </c>
      <c r="Z469" s="177">
        <f t="shared" si="197"/>
        <v>0</v>
      </c>
      <c r="AA469" s="177">
        <f t="shared" si="197"/>
        <v>0</v>
      </c>
      <c r="AB469" s="177">
        <f t="shared" si="197"/>
        <v>0</v>
      </c>
      <c r="AC469" s="177">
        <f t="shared" si="197"/>
        <v>0</v>
      </c>
      <c r="AD469" s="177">
        <f t="shared" si="197"/>
        <v>0</v>
      </c>
      <c r="AE469" s="177">
        <f t="shared" si="197"/>
        <v>0</v>
      </c>
      <c r="AF469" s="177">
        <f t="shared" si="197"/>
        <v>0</v>
      </c>
      <c r="AG469" s="177">
        <f t="shared" si="197"/>
        <v>0</v>
      </c>
      <c r="AH469" s="177">
        <f t="shared" si="197"/>
        <v>0</v>
      </c>
      <c r="AI469" s="177">
        <f t="shared" si="197"/>
        <v>0</v>
      </c>
      <c r="AJ469" s="177">
        <f t="shared" si="197"/>
        <v>0</v>
      </c>
      <c r="AK469" s="177">
        <f t="shared" si="197"/>
        <v>0</v>
      </c>
      <c r="AL469" s="177">
        <f t="shared" si="197"/>
        <v>0</v>
      </c>
      <c r="AM469" s="177">
        <f t="shared" si="197"/>
        <v>0</v>
      </c>
    </row>
    <row r="470" s="5" customFormat="1" ht="44.25" hidden="1" customHeight="1" spans="3:48">
      <c r="C470" s="228" t="s">
        <v>52</v>
      </c>
      <c r="D470" s="249"/>
      <c r="E470" s="249"/>
      <c r="F470" s="249"/>
      <c r="G470" s="233"/>
      <c r="H470" s="232" t="s">
        <v>111</v>
      </c>
      <c r="I470" s="176">
        <f t="shared" ref="I470:AM470" si="198">IFERROR(I468/I466,0)</f>
        <v>0</v>
      </c>
      <c r="J470" s="176">
        <f t="shared" si="198"/>
        <v>0</v>
      </c>
      <c r="K470" s="176">
        <f t="shared" si="198"/>
        <v>0</v>
      </c>
      <c r="L470" s="176">
        <f t="shared" si="198"/>
        <v>0</v>
      </c>
      <c r="M470" s="176">
        <f t="shared" si="198"/>
        <v>0</v>
      </c>
      <c r="N470" s="176">
        <f t="shared" si="198"/>
        <v>0</v>
      </c>
      <c r="O470" s="176">
        <f t="shared" si="198"/>
        <v>0</v>
      </c>
      <c r="P470" s="176">
        <f t="shared" si="198"/>
        <v>0</v>
      </c>
      <c r="Q470" s="176">
        <f t="shared" si="198"/>
        <v>0</v>
      </c>
      <c r="R470" s="176">
        <f t="shared" si="198"/>
        <v>0</v>
      </c>
      <c r="S470" s="176">
        <f t="shared" si="198"/>
        <v>0</v>
      </c>
      <c r="T470" s="176">
        <f t="shared" si="198"/>
        <v>0</v>
      </c>
      <c r="U470" s="176">
        <f t="shared" si="198"/>
        <v>0</v>
      </c>
      <c r="V470" s="176">
        <f t="shared" si="198"/>
        <v>0</v>
      </c>
      <c r="W470" s="176">
        <f t="shared" si="198"/>
        <v>0</v>
      </c>
      <c r="X470" s="176">
        <f t="shared" si="198"/>
        <v>0</v>
      </c>
      <c r="Y470" s="176">
        <f t="shared" si="198"/>
        <v>0</v>
      </c>
      <c r="Z470" s="176">
        <f t="shared" si="198"/>
        <v>0</v>
      </c>
      <c r="AA470" s="176">
        <f t="shared" si="198"/>
        <v>0</v>
      </c>
      <c r="AB470" s="176">
        <f t="shared" si="198"/>
        <v>0</v>
      </c>
      <c r="AC470" s="176">
        <f t="shared" si="198"/>
        <v>0</v>
      </c>
      <c r="AD470" s="176">
        <f t="shared" si="198"/>
        <v>0</v>
      </c>
      <c r="AE470" s="176">
        <f t="shared" si="198"/>
        <v>0</v>
      </c>
      <c r="AF470" s="176">
        <f t="shared" si="198"/>
        <v>0</v>
      </c>
      <c r="AG470" s="176">
        <f t="shared" si="198"/>
        <v>0</v>
      </c>
      <c r="AH470" s="176">
        <f t="shared" si="198"/>
        <v>0</v>
      </c>
      <c r="AI470" s="176">
        <f t="shared" si="198"/>
        <v>0</v>
      </c>
      <c r="AJ470" s="176">
        <f t="shared" si="198"/>
        <v>0</v>
      </c>
      <c r="AK470" s="176">
        <f t="shared" si="198"/>
        <v>0</v>
      </c>
      <c r="AL470" s="176">
        <f t="shared" si="198"/>
        <v>0</v>
      </c>
      <c r="AM470" s="176">
        <f t="shared" si="198"/>
        <v>0</v>
      </c>
    </row>
    <row r="471" ht="44.25" hidden="1" customHeight="1" spans="3:48">
      <c r="C471" s="214" t="s">
        <v>52</v>
      </c>
      <c r="D471" s="248"/>
      <c r="E471" s="248"/>
      <c r="F471" s="248"/>
      <c r="G471" s="246" t="s">
        <v>113</v>
      </c>
      <c r="H471" s="221" t="s">
        <v>107</v>
      </c>
      <c r="I471" s="182">
        <f>SUM(J471:HU471)</f>
        <v>0</v>
      </c>
      <c r="J471" s="182"/>
      <c r="K471" s="182"/>
      <c r="L471" s="182"/>
      <c r="M471" s="182"/>
      <c r="N471" s="182"/>
      <c r="O471" s="182"/>
      <c r="P471" s="182"/>
      <c r="Q471" s="182"/>
      <c r="R471" s="182"/>
      <c r="S471" s="182"/>
      <c r="T471" s="182"/>
      <c r="U471" s="182"/>
      <c r="V471" s="182"/>
      <c r="W471" s="182"/>
      <c r="X471" s="182"/>
      <c r="Y471" s="182"/>
      <c r="Z471" s="182"/>
      <c r="AA471" s="182"/>
      <c r="AB471" s="182"/>
      <c r="AC471" s="182"/>
      <c r="AD471" s="182"/>
      <c r="AE471" s="182"/>
      <c r="AF471" s="182"/>
      <c r="AG471" s="182"/>
      <c r="AH471" s="182"/>
      <c r="AI471" s="182"/>
      <c r="AJ471" s="182"/>
      <c r="AK471" s="182"/>
      <c r="AL471" s="182"/>
      <c r="AM471" s="182"/>
      <c r="AN471" s="251"/>
      <c r="AO471" s="15"/>
      <c r="AP471" s="15"/>
      <c r="AQ471" s="15"/>
      <c r="AR471" s="15"/>
      <c r="AS471" s="15"/>
      <c r="AT471" s="15"/>
      <c r="AU471" s="15"/>
      <c r="AV471" s="15"/>
    </row>
    <row r="472" ht="44.25" hidden="1" customHeight="1" spans="3:48">
      <c r="C472" s="214" t="s">
        <v>52</v>
      </c>
      <c r="D472" s="248"/>
      <c r="E472" s="248"/>
      <c r="F472" s="248"/>
      <c r="G472" s="220"/>
      <c r="H472" s="221" t="s">
        <v>108</v>
      </c>
      <c r="I472" s="177">
        <v>0.07</v>
      </c>
      <c r="J472" s="177">
        <v>0.07</v>
      </c>
      <c r="K472" s="177">
        <v>0.07</v>
      </c>
      <c r="L472" s="177">
        <v>0.07</v>
      </c>
      <c r="M472" s="177">
        <v>0.07</v>
      </c>
      <c r="N472" s="177">
        <v>0.07</v>
      </c>
      <c r="O472" s="177">
        <v>0.07</v>
      </c>
      <c r="P472" s="177">
        <v>0.07</v>
      </c>
      <c r="Q472" s="177">
        <v>0.07</v>
      </c>
      <c r="R472" s="177">
        <v>0.07</v>
      </c>
      <c r="S472" s="177">
        <v>0.07</v>
      </c>
      <c r="T472" s="177">
        <v>0.07</v>
      </c>
      <c r="U472" s="177">
        <v>0.07</v>
      </c>
      <c r="V472" s="177">
        <v>0.07</v>
      </c>
      <c r="W472" s="177">
        <v>0.07</v>
      </c>
      <c r="X472" s="177">
        <v>0.07</v>
      </c>
      <c r="Y472" s="177">
        <v>0.07</v>
      </c>
      <c r="Z472" s="177">
        <v>0.07</v>
      </c>
      <c r="AA472" s="177">
        <v>0.07</v>
      </c>
      <c r="AB472" s="177">
        <v>0.07</v>
      </c>
      <c r="AC472" s="177">
        <v>0.07</v>
      </c>
      <c r="AD472" s="177">
        <v>0.07</v>
      </c>
      <c r="AE472" s="177">
        <v>0.07</v>
      </c>
      <c r="AF472" s="177">
        <v>0.07</v>
      </c>
      <c r="AG472" s="177">
        <v>0.07</v>
      </c>
      <c r="AH472" s="177">
        <v>0.07</v>
      </c>
      <c r="AI472" s="177">
        <v>0.07</v>
      </c>
      <c r="AJ472" s="177">
        <v>0.07</v>
      </c>
      <c r="AK472" s="177">
        <v>0.07</v>
      </c>
      <c r="AL472" s="177">
        <v>0.07</v>
      </c>
      <c r="AM472" s="177">
        <v>0.07</v>
      </c>
      <c r="AN472" s="15"/>
      <c r="AO472" s="15"/>
      <c r="AP472" s="15"/>
      <c r="AQ472" s="15"/>
      <c r="AR472" s="15"/>
      <c r="AS472" s="15"/>
      <c r="AT472" s="15"/>
      <c r="AU472" s="15"/>
      <c r="AV472" s="15"/>
    </row>
    <row r="473" ht="44.25" hidden="1" customHeight="1" spans="3:48">
      <c r="C473" s="214" t="s">
        <v>52</v>
      </c>
      <c r="D473" s="248"/>
      <c r="E473" s="248"/>
      <c r="F473" s="248"/>
      <c r="G473" s="220"/>
      <c r="H473" s="234" t="s">
        <v>109</v>
      </c>
      <c r="I473" s="227" t="e">
        <f>SUM(J473:HU473)</f>
        <v>#REF!</v>
      </c>
      <c r="J473" s="235" t="e">
        <f t="shared" ref="J473:AM473" si="199">J398+J429</f>
        <v>#REF!</v>
      </c>
      <c r="K473" s="235" t="e">
        <f t="shared" si="199"/>
        <v>#REF!</v>
      </c>
      <c r="L473" s="235" t="e">
        <f t="shared" si="199"/>
        <v>#REF!</v>
      </c>
      <c r="M473" s="235" t="e">
        <f t="shared" si="199"/>
        <v>#REF!</v>
      </c>
      <c r="N473" s="235" t="e">
        <f t="shared" si="199"/>
        <v>#REF!</v>
      </c>
      <c r="O473" s="235" t="e">
        <f t="shared" si="199"/>
        <v>#REF!</v>
      </c>
      <c r="P473" s="235" t="e">
        <f t="shared" si="199"/>
        <v>#REF!</v>
      </c>
      <c r="Q473" s="235" t="e">
        <f t="shared" si="199"/>
        <v>#REF!</v>
      </c>
      <c r="R473" s="235" t="e">
        <f t="shared" si="199"/>
        <v>#REF!</v>
      </c>
      <c r="S473" s="235" t="e">
        <f t="shared" si="199"/>
        <v>#REF!</v>
      </c>
      <c r="T473" s="235" t="e">
        <f t="shared" si="199"/>
        <v>#REF!</v>
      </c>
      <c r="U473" s="235" t="e">
        <f t="shared" si="199"/>
        <v>#REF!</v>
      </c>
      <c r="V473" s="235" t="e">
        <f t="shared" si="199"/>
        <v>#REF!</v>
      </c>
      <c r="W473" s="235" t="e">
        <f t="shared" si="199"/>
        <v>#REF!</v>
      </c>
      <c r="X473" s="235" t="e">
        <f t="shared" si="199"/>
        <v>#REF!</v>
      </c>
      <c r="Y473" s="235" t="e">
        <f t="shared" si="199"/>
        <v>#REF!</v>
      </c>
      <c r="Z473" s="235" t="e">
        <f t="shared" si="199"/>
        <v>#REF!</v>
      </c>
      <c r="AA473" s="235" t="e">
        <f t="shared" si="199"/>
        <v>#REF!</v>
      </c>
      <c r="AB473" s="235" t="e">
        <f t="shared" si="199"/>
        <v>#REF!</v>
      </c>
      <c r="AC473" s="235" t="e">
        <f t="shared" si="199"/>
        <v>#REF!</v>
      </c>
      <c r="AD473" s="235" t="e">
        <f t="shared" si="199"/>
        <v>#REF!</v>
      </c>
      <c r="AE473" s="235" t="e">
        <f t="shared" si="199"/>
        <v>#REF!</v>
      </c>
      <c r="AF473" s="235" t="e">
        <f t="shared" si="199"/>
        <v>#REF!</v>
      </c>
      <c r="AG473" s="235" t="e">
        <f t="shared" si="199"/>
        <v>#REF!</v>
      </c>
      <c r="AH473" s="235" t="e">
        <f t="shared" si="199"/>
        <v>#REF!</v>
      </c>
      <c r="AI473" s="235" t="e">
        <f t="shared" si="199"/>
        <v>#REF!</v>
      </c>
      <c r="AJ473" s="235" t="e">
        <f t="shared" si="199"/>
        <v>#REF!</v>
      </c>
      <c r="AK473" s="235" t="e">
        <f t="shared" si="199"/>
        <v>#REF!</v>
      </c>
      <c r="AL473" s="235" t="e">
        <f t="shared" si="199"/>
        <v>#REF!</v>
      </c>
      <c r="AM473" s="235" t="e">
        <f t="shared" si="199"/>
        <v>#REF!</v>
      </c>
      <c r="AN473" s="15"/>
      <c r="AO473" s="15"/>
      <c r="AP473" s="15"/>
      <c r="AQ473" s="15"/>
      <c r="AR473" s="15"/>
      <c r="AS473" s="15"/>
      <c r="AT473" s="15"/>
      <c r="AU473" s="15"/>
      <c r="AV473" s="15"/>
    </row>
    <row r="474" s="5" customFormat="1" ht="44.25" hidden="1" customHeight="1" spans="3:48">
      <c r="C474" s="228" t="s">
        <v>52</v>
      </c>
      <c r="D474" s="249"/>
      <c r="E474" s="249"/>
      <c r="F474" s="249"/>
      <c r="G474" s="231"/>
      <c r="H474" s="232" t="s">
        <v>110</v>
      </c>
      <c r="I474" s="177">
        <f t="shared" ref="I474:AM474" si="200">IFERROR(I473/I$477,0)</f>
        <v>0</v>
      </c>
      <c r="J474" s="177">
        <f t="shared" si="200"/>
        <v>0</v>
      </c>
      <c r="K474" s="177">
        <f t="shared" si="200"/>
        <v>0</v>
      </c>
      <c r="L474" s="177">
        <f t="shared" si="200"/>
        <v>0</v>
      </c>
      <c r="M474" s="177">
        <f t="shared" si="200"/>
        <v>0</v>
      </c>
      <c r="N474" s="177">
        <f t="shared" si="200"/>
        <v>0</v>
      </c>
      <c r="O474" s="177">
        <f t="shared" si="200"/>
        <v>0</v>
      </c>
      <c r="P474" s="177">
        <f t="shared" si="200"/>
        <v>0</v>
      </c>
      <c r="Q474" s="177">
        <f t="shared" si="200"/>
        <v>0</v>
      </c>
      <c r="R474" s="177">
        <f t="shared" si="200"/>
        <v>0</v>
      </c>
      <c r="S474" s="177">
        <f t="shared" si="200"/>
        <v>0</v>
      </c>
      <c r="T474" s="177">
        <f t="shared" si="200"/>
        <v>0</v>
      </c>
      <c r="U474" s="177">
        <f t="shared" si="200"/>
        <v>0</v>
      </c>
      <c r="V474" s="177">
        <f t="shared" si="200"/>
        <v>0</v>
      </c>
      <c r="W474" s="177">
        <f t="shared" si="200"/>
        <v>0</v>
      </c>
      <c r="X474" s="177">
        <f t="shared" si="200"/>
        <v>0</v>
      </c>
      <c r="Y474" s="177">
        <f t="shared" si="200"/>
        <v>0</v>
      </c>
      <c r="Z474" s="177">
        <f t="shared" si="200"/>
        <v>0</v>
      </c>
      <c r="AA474" s="177">
        <f t="shared" si="200"/>
        <v>0</v>
      </c>
      <c r="AB474" s="177">
        <f t="shared" si="200"/>
        <v>0</v>
      </c>
      <c r="AC474" s="177">
        <f t="shared" si="200"/>
        <v>0</v>
      </c>
      <c r="AD474" s="177">
        <f t="shared" si="200"/>
        <v>0</v>
      </c>
      <c r="AE474" s="177">
        <f t="shared" si="200"/>
        <v>0</v>
      </c>
      <c r="AF474" s="177">
        <f t="shared" si="200"/>
        <v>0</v>
      </c>
      <c r="AG474" s="177">
        <f t="shared" si="200"/>
        <v>0</v>
      </c>
      <c r="AH474" s="177">
        <f t="shared" si="200"/>
        <v>0</v>
      </c>
      <c r="AI474" s="177">
        <f t="shared" si="200"/>
        <v>0</v>
      </c>
      <c r="AJ474" s="177">
        <f t="shared" si="200"/>
        <v>0</v>
      </c>
      <c r="AK474" s="177">
        <f t="shared" si="200"/>
        <v>0</v>
      </c>
      <c r="AL474" s="177">
        <f t="shared" si="200"/>
        <v>0</v>
      </c>
      <c r="AM474" s="177">
        <f t="shared" si="200"/>
        <v>0</v>
      </c>
    </row>
    <row r="475" s="5" customFormat="1" ht="44.25" hidden="1" customHeight="1" spans="3:48">
      <c r="C475" s="228" t="s">
        <v>52</v>
      </c>
      <c r="D475" s="249"/>
      <c r="E475" s="249"/>
      <c r="F475" s="249"/>
      <c r="G475" s="233"/>
      <c r="H475" s="232" t="s">
        <v>111</v>
      </c>
      <c r="I475" s="176">
        <f t="shared" ref="I475:AM475" si="201">IFERROR(I473/I471,0)</f>
        <v>0</v>
      </c>
      <c r="J475" s="176">
        <f t="shared" si="201"/>
        <v>0</v>
      </c>
      <c r="K475" s="176">
        <f t="shared" si="201"/>
        <v>0</v>
      </c>
      <c r="L475" s="176">
        <f t="shared" si="201"/>
        <v>0</v>
      </c>
      <c r="M475" s="176">
        <f t="shared" si="201"/>
        <v>0</v>
      </c>
      <c r="N475" s="176">
        <f t="shared" si="201"/>
        <v>0</v>
      </c>
      <c r="O475" s="176">
        <f t="shared" si="201"/>
        <v>0</v>
      </c>
      <c r="P475" s="176">
        <f t="shared" si="201"/>
        <v>0</v>
      </c>
      <c r="Q475" s="176">
        <f t="shared" si="201"/>
        <v>0</v>
      </c>
      <c r="R475" s="176">
        <f t="shared" si="201"/>
        <v>0</v>
      </c>
      <c r="S475" s="176">
        <f t="shared" si="201"/>
        <v>0</v>
      </c>
      <c r="T475" s="176">
        <f t="shared" si="201"/>
        <v>0</v>
      </c>
      <c r="U475" s="176">
        <f t="shared" si="201"/>
        <v>0</v>
      </c>
      <c r="V475" s="176">
        <f t="shared" si="201"/>
        <v>0</v>
      </c>
      <c r="W475" s="176">
        <f t="shared" si="201"/>
        <v>0</v>
      </c>
      <c r="X475" s="176">
        <f t="shared" si="201"/>
        <v>0</v>
      </c>
      <c r="Y475" s="176">
        <f t="shared" si="201"/>
        <v>0</v>
      </c>
      <c r="Z475" s="176">
        <f t="shared" si="201"/>
        <v>0</v>
      </c>
      <c r="AA475" s="176">
        <f t="shared" si="201"/>
        <v>0</v>
      </c>
      <c r="AB475" s="176">
        <f t="shared" si="201"/>
        <v>0</v>
      </c>
      <c r="AC475" s="176">
        <f t="shared" si="201"/>
        <v>0</v>
      </c>
      <c r="AD475" s="176">
        <f t="shared" si="201"/>
        <v>0</v>
      </c>
      <c r="AE475" s="176">
        <f t="shared" si="201"/>
        <v>0</v>
      </c>
      <c r="AF475" s="176">
        <f t="shared" si="201"/>
        <v>0</v>
      </c>
      <c r="AG475" s="176">
        <f t="shared" si="201"/>
        <v>0</v>
      </c>
      <c r="AH475" s="176">
        <f t="shared" si="201"/>
        <v>0</v>
      </c>
      <c r="AI475" s="176">
        <f t="shared" si="201"/>
        <v>0</v>
      </c>
      <c r="AJ475" s="176">
        <f t="shared" si="201"/>
        <v>0</v>
      </c>
      <c r="AK475" s="176">
        <f t="shared" si="201"/>
        <v>0</v>
      </c>
      <c r="AL475" s="176">
        <f t="shared" si="201"/>
        <v>0</v>
      </c>
      <c r="AM475" s="176">
        <f t="shared" si="201"/>
        <v>0</v>
      </c>
    </row>
    <row r="476" ht="44.25" hidden="1" customHeight="1" spans="3:48">
      <c r="C476" s="214" t="s">
        <v>52</v>
      </c>
      <c r="D476" s="248"/>
      <c r="E476" s="248"/>
      <c r="F476" s="248"/>
      <c r="G476" s="246" t="s">
        <v>38</v>
      </c>
      <c r="H476" s="221" t="s">
        <v>107</v>
      </c>
      <c r="I476" s="182">
        <f>SUM(J476:HU476)</f>
        <v>0</v>
      </c>
      <c r="J476" s="182"/>
      <c r="K476" s="182"/>
      <c r="L476" s="182"/>
      <c r="M476" s="182"/>
      <c r="N476" s="182"/>
      <c r="O476" s="182"/>
      <c r="P476" s="182"/>
      <c r="Q476" s="182"/>
      <c r="R476" s="182"/>
      <c r="S476" s="182"/>
      <c r="T476" s="182"/>
      <c r="U476" s="182"/>
      <c r="V476" s="182"/>
      <c r="W476" s="182"/>
      <c r="X476" s="182"/>
      <c r="Y476" s="182"/>
      <c r="Z476" s="182"/>
      <c r="AA476" s="182"/>
      <c r="AB476" s="182"/>
      <c r="AC476" s="182"/>
      <c r="AD476" s="182"/>
      <c r="AE476" s="182"/>
      <c r="AF476" s="182"/>
      <c r="AG476" s="182"/>
      <c r="AH476" s="182"/>
      <c r="AI476" s="182"/>
      <c r="AJ476" s="182"/>
      <c r="AK476" s="182"/>
      <c r="AL476" s="182"/>
      <c r="AM476" s="182"/>
      <c r="AN476" s="252">
        <v>0</v>
      </c>
      <c r="AO476" s="15"/>
      <c r="AP476" s="15"/>
      <c r="AQ476" s="15"/>
      <c r="AR476" s="15"/>
      <c r="AS476" s="15"/>
      <c r="AT476" s="15"/>
      <c r="AU476" s="15"/>
      <c r="AV476" s="15"/>
    </row>
    <row r="477" ht="44.25" hidden="1" customHeight="1" spans="3:48">
      <c r="C477" s="214" t="s">
        <v>52</v>
      </c>
      <c r="D477" s="248"/>
      <c r="E477" s="248"/>
      <c r="F477" s="248"/>
      <c r="G477" s="220"/>
      <c r="H477" s="234" t="s">
        <v>109</v>
      </c>
      <c r="I477" s="227" t="e">
        <f>SUM(J477:HU477)</f>
        <v>#REF!</v>
      </c>
      <c r="J477" s="235" t="e">
        <f t="shared" ref="J477:AM477" si="202">J402+J415+J433+J446+J459</f>
        <v>#REF!</v>
      </c>
      <c r="K477" s="235" t="e">
        <f t="shared" si="202"/>
        <v>#REF!</v>
      </c>
      <c r="L477" s="235" t="e">
        <f t="shared" si="202"/>
        <v>#REF!</v>
      </c>
      <c r="M477" s="235" t="e">
        <f t="shared" si="202"/>
        <v>#REF!</v>
      </c>
      <c r="N477" s="235" t="e">
        <f t="shared" si="202"/>
        <v>#REF!</v>
      </c>
      <c r="O477" s="235" t="e">
        <f t="shared" si="202"/>
        <v>#REF!</v>
      </c>
      <c r="P477" s="235" t="e">
        <f t="shared" si="202"/>
        <v>#REF!</v>
      </c>
      <c r="Q477" s="235" t="e">
        <f t="shared" si="202"/>
        <v>#REF!</v>
      </c>
      <c r="R477" s="235" t="e">
        <f t="shared" si="202"/>
        <v>#REF!</v>
      </c>
      <c r="S477" s="235" t="e">
        <f t="shared" si="202"/>
        <v>#REF!</v>
      </c>
      <c r="T477" s="235" t="e">
        <f t="shared" si="202"/>
        <v>#REF!</v>
      </c>
      <c r="U477" s="235" t="e">
        <f t="shared" si="202"/>
        <v>#REF!</v>
      </c>
      <c r="V477" s="235" t="e">
        <f t="shared" si="202"/>
        <v>#REF!</v>
      </c>
      <c r="W477" s="235" t="e">
        <f t="shared" si="202"/>
        <v>#REF!</v>
      </c>
      <c r="X477" s="235" t="e">
        <f t="shared" si="202"/>
        <v>#REF!</v>
      </c>
      <c r="Y477" s="235" t="e">
        <f t="shared" si="202"/>
        <v>#REF!</v>
      </c>
      <c r="Z477" s="235" t="e">
        <f t="shared" si="202"/>
        <v>#REF!</v>
      </c>
      <c r="AA477" s="235" t="e">
        <f t="shared" si="202"/>
        <v>#REF!</v>
      </c>
      <c r="AB477" s="235" t="e">
        <f t="shared" si="202"/>
        <v>#REF!</v>
      </c>
      <c r="AC477" s="235" t="e">
        <f t="shared" si="202"/>
        <v>#REF!</v>
      </c>
      <c r="AD477" s="235" t="e">
        <f t="shared" si="202"/>
        <v>#REF!</v>
      </c>
      <c r="AE477" s="235" t="e">
        <f t="shared" si="202"/>
        <v>#REF!</v>
      </c>
      <c r="AF477" s="235" t="e">
        <f t="shared" si="202"/>
        <v>#REF!</v>
      </c>
      <c r="AG477" s="235" t="e">
        <f t="shared" si="202"/>
        <v>#REF!</v>
      </c>
      <c r="AH477" s="235" t="e">
        <f t="shared" si="202"/>
        <v>#REF!</v>
      </c>
      <c r="AI477" s="235" t="e">
        <f t="shared" si="202"/>
        <v>#REF!</v>
      </c>
      <c r="AJ477" s="235" t="e">
        <f t="shared" si="202"/>
        <v>#REF!</v>
      </c>
      <c r="AK477" s="235" t="e">
        <f t="shared" si="202"/>
        <v>#REF!</v>
      </c>
      <c r="AL477" s="235" t="e">
        <f t="shared" si="202"/>
        <v>#REF!</v>
      </c>
      <c r="AM477" s="235" t="e">
        <f t="shared" si="202"/>
        <v>#REF!</v>
      </c>
      <c r="AN477" s="15"/>
      <c r="AO477" s="15"/>
      <c r="AP477" s="15"/>
      <c r="AQ477" s="15"/>
      <c r="AR477" s="15"/>
      <c r="AS477" s="15"/>
      <c r="AT477" s="15"/>
      <c r="AU477" s="15"/>
      <c r="AV477" s="15"/>
    </row>
    <row r="478" s="5" customFormat="1" ht="44.25" hidden="1" customHeight="1" spans="3:48">
      <c r="C478" s="228" t="s">
        <v>52</v>
      </c>
      <c r="D478" s="249"/>
      <c r="E478" s="249"/>
      <c r="F478" s="249"/>
      <c r="G478" s="233"/>
      <c r="H478" s="232" t="s">
        <v>111</v>
      </c>
      <c r="I478" s="176">
        <f t="shared" ref="I478:AM478" si="203">IFERROR(I477/I476,0)</f>
        <v>0</v>
      </c>
      <c r="J478" s="176">
        <f t="shared" si="203"/>
        <v>0</v>
      </c>
      <c r="K478" s="176">
        <f t="shared" si="203"/>
        <v>0</v>
      </c>
      <c r="L478" s="176">
        <f t="shared" si="203"/>
        <v>0</v>
      </c>
      <c r="M478" s="176">
        <f t="shared" si="203"/>
        <v>0</v>
      </c>
      <c r="N478" s="176">
        <f t="shared" si="203"/>
        <v>0</v>
      </c>
      <c r="O478" s="176">
        <f t="shared" si="203"/>
        <v>0</v>
      </c>
      <c r="P478" s="176">
        <f t="shared" si="203"/>
        <v>0</v>
      </c>
      <c r="Q478" s="176">
        <f t="shared" si="203"/>
        <v>0</v>
      </c>
      <c r="R478" s="176">
        <f t="shared" si="203"/>
        <v>0</v>
      </c>
      <c r="S478" s="176">
        <f t="shared" si="203"/>
        <v>0</v>
      </c>
      <c r="T478" s="176">
        <f t="shared" si="203"/>
        <v>0</v>
      </c>
      <c r="U478" s="176">
        <f t="shared" si="203"/>
        <v>0</v>
      </c>
      <c r="V478" s="176">
        <f t="shared" si="203"/>
        <v>0</v>
      </c>
      <c r="W478" s="176">
        <f t="shared" si="203"/>
        <v>0</v>
      </c>
      <c r="X478" s="176">
        <f t="shared" si="203"/>
        <v>0</v>
      </c>
      <c r="Y478" s="176">
        <f t="shared" si="203"/>
        <v>0</v>
      </c>
      <c r="Z478" s="176">
        <f t="shared" si="203"/>
        <v>0</v>
      </c>
      <c r="AA478" s="176">
        <f t="shared" si="203"/>
        <v>0</v>
      </c>
      <c r="AB478" s="176">
        <f t="shared" si="203"/>
        <v>0</v>
      </c>
      <c r="AC478" s="176">
        <f t="shared" si="203"/>
        <v>0</v>
      </c>
      <c r="AD478" s="176">
        <f t="shared" si="203"/>
        <v>0</v>
      </c>
      <c r="AE478" s="176">
        <f t="shared" si="203"/>
        <v>0</v>
      </c>
      <c r="AF478" s="176">
        <f t="shared" si="203"/>
        <v>0</v>
      </c>
      <c r="AG478" s="176">
        <f t="shared" si="203"/>
        <v>0</v>
      </c>
      <c r="AH478" s="176">
        <f t="shared" si="203"/>
        <v>0</v>
      </c>
      <c r="AI478" s="176">
        <f t="shared" si="203"/>
        <v>0</v>
      </c>
      <c r="AJ478" s="176">
        <f t="shared" si="203"/>
        <v>0</v>
      </c>
      <c r="AK478" s="176">
        <f t="shared" si="203"/>
        <v>0</v>
      </c>
      <c r="AL478" s="176">
        <f t="shared" si="203"/>
        <v>0</v>
      </c>
      <c r="AM478" s="176">
        <f t="shared" si="203"/>
        <v>0</v>
      </c>
    </row>
    <row r="479" ht="48" hidden="1" customHeight="1" spans="3:48">
      <c r="H479" s="13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</row>
    <row r="480" s="12" customFormat="1" ht="28.5" hidden="1" customHeight="1" spans="3:48">
      <c r="C480" s="253" t="s">
        <v>36</v>
      </c>
      <c r="D480" s="253" t="s">
        <v>102</v>
      </c>
      <c r="E480" s="253" t="s">
        <v>103</v>
      </c>
      <c r="F480" s="253" t="s">
        <v>104</v>
      </c>
      <c r="G480" s="254" t="s">
        <v>105</v>
      </c>
      <c r="H480" s="255" t="s">
        <v>37</v>
      </c>
      <c r="I480" s="255" t="s">
        <v>38</v>
      </c>
      <c r="J480" s="256">
        <v>46174</v>
      </c>
      <c r="K480" s="256">
        <v>46175</v>
      </c>
      <c r="L480" s="256">
        <v>46176</v>
      </c>
      <c r="M480" s="256">
        <v>46177</v>
      </c>
      <c r="N480" s="256">
        <v>46178</v>
      </c>
      <c r="O480" s="256">
        <v>46179</v>
      </c>
      <c r="P480" s="256">
        <v>46180</v>
      </c>
      <c r="Q480" s="256">
        <v>46181</v>
      </c>
      <c r="R480" s="256">
        <v>46182</v>
      </c>
      <c r="S480" s="256">
        <v>46183</v>
      </c>
      <c r="T480" s="256">
        <v>46184</v>
      </c>
      <c r="U480" s="256">
        <v>46185</v>
      </c>
      <c r="V480" s="256">
        <v>46186</v>
      </c>
      <c r="W480" s="256">
        <v>46187</v>
      </c>
      <c r="X480" s="256">
        <v>46188</v>
      </c>
      <c r="Y480" s="256">
        <v>46189</v>
      </c>
      <c r="Z480" s="256">
        <v>46190</v>
      </c>
      <c r="AA480" s="256">
        <v>46191</v>
      </c>
      <c r="AB480" s="256">
        <v>46192</v>
      </c>
      <c r="AC480" s="256">
        <v>46193</v>
      </c>
      <c r="AD480" s="256">
        <v>46194</v>
      </c>
      <c r="AE480" s="256">
        <v>46195</v>
      </c>
      <c r="AF480" s="256">
        <v>46196</v>
      </c>
      <c r="AG480" s="256">
        <v>46197</v>
      </c>
      <c r="AH480" s="256">
        <v>46198</v>
      </c>
      <c r="AI480" s="256">
        <v>46199</v>
      </c>
      <c r="AJ480" s="256">
        <v>46200</v>
      </c>
      <c r="AK480" s="256">
        <v>46201</v>
      </c>
      <c r="AL480" s="256">
        <v>46202</v>
      </c>
      <c r="AM480" s="256">
        <v>46203</v>
      </c>
    </row>
    <row r="481" ht="20.25" hidden="1" customHeight="1" spans="3:48">
      <c r="C481" s="257" t="s">
        <v>114</v>
      </c>
      <c r="D481" s="257" t="s">
        <v>87</v>
      </c>
      <c r="E481" s="258">
        <f>I506/$I$686</f>
        <v>0.296191822664794</v>
      </c>
      <c r="F481" s="258" t="e">
        <f>I508/$I$688</f>
        <v>#REF!</v>
      </c>
      <c r="G481" s="259" t="s">
        <v>115</v>
      </c>
      <c r="H481" s="260" t="s">
        <v>107</v>
      </c>
      <c r="I481" s="88">
        <v>52208</v>
      </c>
      <c r="J481" s="88">
        <v>2084</v>
      </c>
      <c r="K481" s="88">
        <v>2002</v>
      </c>
      <c r="L481" s="88">
        <v>2002</v>
      </c>
      <c r="M481" s="88">
        <v>1565</v>
      </c>
      <c r="N481" s="88">
        <v>1445</v>
      </c>
      <c r="O481" s="88">
        <v>1306</v>
      </c>
      <c r="P481" s="88">
        <v>1411</v>
      </c>
      <c r="Q481" s="88">
        <v>1405</v>
      </c>
      <c r="R481" s="88">
        <v>1451</v>
      </c>
      <c r="S481" s="88">
        <v>1491</v>
      </c>
      <c r="T481" s="88">
        <v>1491</v>
      </c>
      <c r="U481" s="88">
        <v>1445</v>
      </c>
      <c r="V481" s="88">
        <v>1485</v>
      </c>
      <c r="W481" s="88">
        <v>1903</v>
      </c>
      <c r="X481" s="88">
        <v>1937</v>
      </c>
      <c r="Y481" s="88">
        <v>2396</v>
      </c>
      <c r="Z481" s="88">
        <v>2998</v>
      </c>
      <c r="AA481" s="88">
        <v>6360</v>
      </c>
      <c r="AB481" s="88">
        <v>2426</v>
      </c>
      <c r="AC481" s="88">
        <v>1996</v>
      </c>
      <c r="AD481" s="88">
        <v>1134</v>
      </c>
      <c r="AE481" s="88">
        <v>1134</v>
      </c>
      <c r="AF481" s="88">
        <v>1140</v>
      </c>
      <c r="AG481" s="88">
        <v>1186</v>
      </c>
      <c r="AH481" s="88">
        <v>1140</v>
      </c>
      <c r="AI481" s="88">
        <v>1232</v>
      </c>
      <c r="AJ481" s="88">
        <v>1054</v>
      </c>
      <c r="AK481" s="88">
        <v>1205</v>
      </c>
      <c r="AL481" s="88">
        <v>1192</v>
      </c>
      <c r="AM481" s="88">
        <v>1192</v>
      </c>
      <c r="AN481" s="15"/>
      <c r="AO481" s="15"/>
      <c r="AP481" s="15"/>
      <c r="AQ481" s="15"/>
      <c r="AR481" s="15"/>
      <c r="AS481" s="15"/>
      <c r="AT481" s="15"/>
      <c r="AU481" s="15"/>
      <c r="AV481" s="15"/>
    </row>
    <row r="482" ht="20.25" hidden="1" customHeight="1" spans="3:48">
      <c r="C482" s="251"/>
      <c r="D482" s="251"/>
      <c r="E482" s="261"/>
      <c r="F482" s="261"/>
      <c r="G482" s="262"/>
      <c r="H482" s="260" t="s">
        <v>108</v>
      </c>
      <c r="I482" s="90">
        <v>0.4</v>
      </c>
      <c r="J482" s="90">
        <v>0.4</v>
      </c>
      <c r="K482" s="90">
        <v>0.4</v>
      </c>
      <c r="L482" s="90">
        <v>0.4</v>
      </c>
      <c r="M482" s="90">
        <v>0.4</v>
      </c>
      <c r="N482" s="90">
        <v>0.4</v>
      </c>
      <c r="O482" s="90">
        <v>0.4</v>
      </c>
      <c r="P482" s="90">
        <v>0.4</v>
      </c>
      <c r="Q482" s="90">
        <v>0.4</v>
      </c>
      <c r="R482" s="90">
        <v>0.4</v>
      </c>
      <c r="S482" s="90">
        <v>0.4</v>
      </c>
      <c r="T482" s="90">
        <v>0.4</v>
      </c>
      <c r="U482" s="90">
        <v>0.4</v>
      </c>
      <c r="V482" s="90">
        <v>0.4</v>
      </c>
      <c r="W482" s="90">
        <v>0.4</v>
      </c>
      <c r="X482" s="90">
        <v>0.4</v>
      </c>
      <c r="Y482" s="90">
        <v>0.4</v>
      </c>
      <c r="Z482" s="90">
        <v>0.4</v>
      </c>
      <c r="AA482" s="90">
        <v>0.4</v>
      </c>
      <c r="AB482" s="90">
        <v>0.4</v>
      </c>
      <c r="AC482" s="90">
        <v>0.4</v>
      </c>
      <c r="AD482" s="90">
        <v>0.4</v>
      </c>
      <c r="AE482" s="90">
        <v>0.4</v>
      </c>
      <c r="AF482" s="90">
        <v>0.4</v>
      </c>
      <c r="AG482" s="90">
        <v>0.4</v>
      </c>
      <c r="AH482" s="90">
        <v>0.4</v>
      </c>
      <c r="AI482" s="90">
        <v>0.4</v>
      </c>
      <c r="AJ482" s="90">
        <v>0.4</v>
      </c>
      <c r="AK482" s="90">
        <v>0.4</v>
      </c>
      <c r="AL482" s="90">
        <v>0.4</v>
      </c>
      <c r="AM482" s="90">
        <v>0.4</v>
      </c>
      <c r="AN482" s="15"/>
      <c r="AO482" s="15"/>
      <c r="AP482" s="15"/>
      <c r="AQ482" s="15"/>
      <c r="AR482" s="15"/>
      <c r="AS482" s="15"/>
      <c r="AT482" s="15"/>
      <c r="AU482" s="15"/>
      <c r="AV482" s="15"/>
    </row>
    <row r="483" ht="20.25" hidden="1" customHeight="1" spans="3:48">
      <c r="C483" s="251"/>
      <c r="D483" s="251"/>
      <c r="E483" s="261"/>
      <c r="F483" s="261"/>
      <c r="G483" s="262"/>
      <c r="H483" s="260" t="s">
        <v>109</v>
      </c>
      <c r="I483" s="88" t="e">
        <f>SUM(J483:AM483)</f>
        <v>#REF!</v>
      </c>
      <c r="J483" s="88" t="e">
        <f>SUMIFS(#REF!,#REF!,$D$481,#REF!,$G$481,#REF!,J$480)</f>
        <v>#REF!</v>
      </c>
      <c r="K483" s="88" t="e">
        <f>SUMIFS(#REF!,#REF!,$D$481,#REF!,$G$481,#REF!,K$480)</f>
        <v>#REF!</v>
      </c>
      <c r="L483" s="88" t="e">
        <f>SUMIFS(#REF!,#REF!,$D$481,#REF!,$G$481,#REF!,L$480)</f>
        <v>#REF!</v>
      </c>
      <c r="M483" s="88" t="e">
        <f>SUMIFS(#REF!,#REF!,$D$481,#REF!,$G$481,#REF!,M$480)</f>
        <v>#REF!</v>
      </c>
      <c r="N483" s="88" t="e">
        <f>SUMIFS(#REF!,#REF!,$D$481,#REF!,$G$481,#REF!,N$480)</f>
        <v>#REF!</v>
      </c>
      <c r="O483" s="88" t="e">
        <f>SUMIFS(#REF!,#REF!,$D$481,#REF!,$G$481,#REF!,O$480)</f>
        <v>#REF!</v>
      </c>
      <c r="P483" s="88" t="e">
        <f>SUMIFS(#REF!,#REF!,$D$481,#REF!,$G$481,#REF!,P$480)</f>
        <v>#REF!</v>
      </c>
      <c r="Q483" s="88" t="e">
        <f>SUMIFS(#REF!,#REF!,$D$481,#REF!,$G$481,#REF!,Q$480)</f>
        <v>#REF!</v>
      </c>
      <c r="R483" s="88" t="e">
        <f>SUMIFS(#REF!,#REF!,$D$481,#REF!,$G$481,#REF!,R$480)</f>
        <v>#REF!</v>
      </c>
      <c r="S483" s="88" t="e">
        <f>SUMIFS(#REF!,#REF!,$D$481,#REF!,$G$481,#REF!,S$480)</f>
        <v>#REF!</v>
      </c>
      <c r="T483" s="88" t="e">
        <f>SUMIFS(#REF!,#REF!,$D$481,#REF!,$G$481,#REF!,T$480)</f>
        <v>#REF!</v>
      </c>
      <c r="U483" s="88" t="e">
        <f>SUMIFS(#REF!,#REF!,$D$481,#REF!,$G$481,#REF!,U$480)</f>
        <v>#REF!</v>
      </c>
      <c r="V483" s="88" t="e">
        <f>SUMIFS(#REF!,#REF!,$D$481,#REF!,$G$481,#REF!,V$480)</f>
        <v>#REF!</v>
      </c>
      <c r="W483" s="88" t="e">
        <f>SUMIFS(#REF!,#REF!,$D$481,#REF!,$G$481,#REF!,W$480)</f>
        <v>#REF!</v>
      </c>
      <c r="X483" s="88" t="e">
        <f>SUMIFS(#REF!,#REF!,$D$481,#REF!,$G$481,#REF!,X$480)</f>
        <v>#REF!</v>
      </c>
      <c r="Y483" s="88" t="e">
        <f>SUMIFS(#REF!,#REF!,$D$481,#REF!,$G$481,#REF!,Y$480)</f>
        <v>#REF!</v>
      </c>
      <c r="Z483" s="88" t="e">
        <f>SUMIFS(#REF!,#REF!,$D$481,#REF!,$G$481,#REF!,Z$480)</f>
        <v>#REF!</v>
      </c>
      <c r="AA483" s="88" t="e">
        <f>SUMIFS(#REF!,#REF!,$D$481,#REF!,$G$481,#REF!,AA$480)</f>
        <v>#REF!</v>
      </c>
      <c r="AB483" s="88" t="e">
        <f>SUMIFS(#REF!,#REF!,$D$481,#REF!,$G$481,#REF!,AB$480)</f>
        <v>#REF!</v>
      </c>
      <c r="AC483" s="88" t="e">
        <f>SUMIFS(#REF!,#REF!,$D$481,#REF!,$G$481,#REF!,AC$480)</f>
        <v>#REF!</v>
      </c>
      <c r="AD483" s="88" t="e">
        <f>SUMIFS(#REF!,#REF!,$D$481,#REF!,$G$481,#REF!,AD$480)</f>
        <v>#REF!</v>
      </c>
      <c r="AE483" s="88" t="e">
        <f>SUMIFS(#REF!,#REF!,$D$481,#REF!,$G$481,#REF!,AE$480)</f>
        <v>#REF!</v>
      </c>
      <c r="AF483" s="88" t="e">
        <f>SUMIFS(#REF!,#REF!,$D$481,#REF!,$G$481,#REF!,AF$480)</f>
        <v>#REF!</v>
      </c>
      <c r="AG483" s="88" t="e">
        <f>SUMIFS(#REF!,#REF!,$D$481,#REF!,$G$481,#REF!,AG$480)</f>
        <v>#REF!</v>
      </c>
      <c r="AH483" s="88" t="e">
        <f>SUMIFS(#REF!,#REF!,$D$481,#REF!,$G$481,#REF!,AH$480)</f>
        <v>#REF!</v>
      </c>
      <c r="AI483" s="88" t="e">
        <f>SUMIFS(#REF!,#REF!,$D$481,#REF!,$G$481,#REF!,AI$480)</f>
        <v>#REF!</v>
      </c>
      <c r="AJ483" s="88" t="e">
        <f>SUMIFS(#REF!,#REF!,$D$481,#REF!,$G$481,#REF!,AJ$480)</f>
        <v>#REF!</v>
      </c>
      <c r="AK483" s="88" t="e">
        <f>SUMIFS(#REF!,#REF!,$D$481,#REF!,$G$481,#REF!,AK$480)</f>
        <v>#REF!</v>
      </c>
      <c r="AL483" s="88" t="e">
        <f>SUMIFS(#REF!,#REF!,$D$481,#REF!,$G$481,#REF!,AL$480)</f>
        <v>#REF!</v>
      </c>
      <c r="AM483" s="88" t="e">
        <f>SUMIFS(#REF!,#REF!,$D$481,#REF!,$G$481,#REF!,AM$480)</f>
        <v>#REF!</v>
      </c>
      <c r="AN483" s="15"/>
      <c r="AO483" s="15"/>
      <c r="AP483" s="15"/>
      <c r="AQ483" s="15"/>
      <c r="AR483" s="15"/>
      <c r="AS483" s="15"/>
      <c r="AT483" s="15"/>
      <c r="AU483" s="15"/>
      <c r="AV483" s="15"/>
    </row>
    <row r="484" ht="20.25" hidden="1" customHeight="1" spans="3:48">
      <c r="C484" s="251"/>
      <c r="D484" s="251"/>
      <c r="E484" s="261"/>
      <c r="F484" s="261"/>
      <c r="G484" s="262"/>
      <c r="H484" s="260" t="s">
        <v>110</v>
      </c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15"/>
      <c r="AO484" s="15"/>
      <c r="AP484" s="15"/>
      <c r="AQ484" s="15"/>
      <c r="AR484" s="15"/>
      <c r="AS484" s="15"/>
      <c r="AT484" s="15"/>
      <c r="AU484" s="15"/>
      <c r="AV484" s="15"/>
    </row>
    <row r="485" ht="20.25" hidden="1" customHeight="1" spans="3:48">
      <c r="C485" s="251"/>
      <c r="D485" s="251"/>
      <c r="E485" s="261"/>
      <c r="F485" s="261"/>
      <c r="G485" s="262"/>
      <c r="H485" s="260" t="s">
        <v>111</v>
      </c>
      <c r="I485" s="90" t="e">
        <f t="shared" ref="I485:AM485" si="204">I483/I481</f>
        <v>#REF!</v>
      </c>
      <c r="J485" s="90" t="e">
        <f t="shared" si="204"/>
        <v>#REF!</v>
      </c>
      <c r="K485" s="90" t="e">
        <f t="shared" si="204"/>
        <v>#REF!</v>
      </c>
      <c r="L485" s="90" t="e">
        <f t="shared" si="204"/>
        <v>#REF!</v>
      </c>
      <c r="M485" s="90" t="e">
        <f t="shared" si="204"/>
        <v>#REF!</v>
      </c>
      <c r="N485" s="90" t="e">
        <f t="shared" si="204"/>
        <v>#REF!</v>
      </c>
      <c r="O485" s="90" t="e">
        <f t="shared" si="204"/>
        <v>#REF!</v>
      </c>
      <c r="P485" s="90" t="e">
        <f t="shared" si="204"/>
        <v>#REF!</v>
      </c>
      <c r="Q485" s="90" t="e">
        <f t="shared" si="204"/>
        <v>#REF!</v>
      </c>
      <c r="R485" s="90" t="e">
        <f t="shared" si="204"/>
        <v>#REF!</v>
      </c>
      <c r="S485" s="90" t="e">
        <f t="shared" si="204"/>
        <v>#REF!</v>
      </c>
      <c r="T485" s="90" t="e">
        <f t="shared" si="204"/>
        <v>#REF!</v>
      </c>
      <c r="U485" s="90" t="e">
        <f t="shared" si="204"/>
        <v>#REF!</v>
      </c>
      <c r="V485" s="90" t="e">
        <f t="shared" si="204"/>
        <v>#REF!</v>
      </c>
      <c r="W485" s="90" t="e">
        <f t="shared" si="204"/>
        <v>#REF!</v>
      </c>
      <c r="X485" s="90" t="e">
        <f t="shared" si="204"/>
        <v>#REF!</v>
      </c>
      <c r="Y485" s="90" t="e">
        <f t="shared" si="204"/>
        <v>#REF!</v>
      </c>
      <c r="Z485" s="90" t="e">
        <f t="shared" si="204"/>
        <v>#REF!</v>
      </c>
      <c r="AA485" s="90" t="e">
        <f t="shared" si="204"/>
        <v>#REF!</v>
      </c>
      <c r="AB485" s="90" t="e">
        <f t="shared" si="204"/>
        <v>#REF!</v>
      </c>
      <c r="AC485" s="90" t="e">
        <f t="shared" si="204"/>
        <v>#REF!</v>
      </c>
      <c r="AD485" s="90" t="e">
        <f t="shared" si="204"/>
        <v>#REF!</v>
      </c>
      <c r="AE485" s="90" t="e">
        <f t="shared" si="204"/>
        <v>#REF!</v>
      </c>
      <c r="AF485" s="90" t="e">
        <f t="shared" si="204"/>
        <v>#REF!</v>
      </c>
      <c r="AG485" s="90" t="e">
        <f t="shared" si="204"/>
        <v>#REF!</v>
      </c>
      <c r="AH485" s="90" t="e">
        <f t="shared" si="204"/>
        <v>#REF!</v>
      </c>
      <c r="AI485" s="90" t="e">
        <f t="shared" si="204"/>
        <v>#REF!</v>
      </c>
      <c r="AJ485" s="90" t="e">
        <f t="shared" si="204"/>
        <v>#REF!</v>
      </c>
      <c r="AK485" s="90" t="e">
        <f t="shared" si="204"/>
        <v>#REF!</v>
      </c>
      <c r="AL485" s="90" t="e">
        <f t="shared" si="204"/>
        <v>#REF!</v>
      </c>
      <c r="AM485" s="90" t="e">
        <f t="shared" si="204"/>
        <v>#REF!</v>
      </c>
    </row>
    <row r="486" ht="20.25" hidden="1" customHeight="1" spans="3:48">
      <c r="C486" s="251"/>
      <c r="D486" s="251"/>
      <c r="E486" s="261"/>
      <c r="F486" s="261"/>
      <c r="G486" s="259" t="s">
        <v>116</v>
      </c>
      <c r="H486" s="260" t="s">
        <v>107</v>
      </c>
      <c r="I486" s="88">
        <v>26104</v>
      </c>
      <c r="J486" s="88">
        <v>1042</v>
      </c>
      <c r="K486" s="88">
        <v>1001</v>
      </c>
      <c r="L486" s="88">
        <v>1001</v>
      </c>
      <c r="M486" s="88">
        <v>782</v>
      </c>
      <c r="N486" s="88">
        <v>722</v>
      </c>
      <c r="O486" s="88">
        <v>653</v>
      </c>
      <c r="P486" s="88">
        <v>705</v>
      </c>
      <c r="Q486" s="88">
        <v>702</v>
      </c>
      <c r="R486" s="88">
        <v>725</v>
      </c>
      <c r="S486" s="88">
        <v>745</v>
      </c>
      <c r="T486" s="88">
        <v>745</v>
      </c>
      <c r="U486" s="88">
        <v>722</v>
      </c>
      <c r="V486" s="88">
        <v>742</v>
      </c>
      <c r="W486" s="88">
        <v>952</v>
      </c>
      <c r="X486" s="88">
        <v>968</v>
      </c>
      <c r="Y486" s="88">
        <v>1198</v>
      </c>
      <c r="Z486" s="88">
        <v>1499</v>
      </c>
      <c r="AA486" s="88">
        <v>3180</v>
      </c>
      <c r="AB486" s="88">
        <v>1213</v>
      </c>
      <c r="AC486" s="88">
        <v>998</v>
      </c>
      <c r="AD486" s="88">
        <v>567</v>
      </c>
      <c r="AE486" s="88">
        <v>567</v>
      </c>
      <c r="AF486" s="88">
        <v>570</v>
      </c>
      <c r="AG486" s="88">
        <v>593</v>
      </c>
      <c r="AH486" s="88">
        <v>570</v>
      </c>
      <c r="AI486" s="88">
        <v>616</v>
      </c>
      <c r="AJ486" s="88">
        <v>527</v>
      </c>
      <c r="AK486" s="88">
        <v>602</v>
      </c>
      <c r="AL486" s="88">
        <v>596</v>
      </c>
      <c r="AM486" s="88">
        <v>596</v>
      </c>
    </row>
    <row r="487" ht="20.25" hidden="1" customHeight="1" spans="3:48">
      <c r="C487" s="251"/>
      <c r="D487" s="251"/>
      <c r="E487" s="261"/>
      <c r="F487" s="261"/>
      <c r="G487" s="262"/>
      <c r="H487" s="260" t="s">
        <v>108</v>
      </c>
      <c r="I487" s="90">
        <v>0.2</v>
      </c>
      <c r="J487" s="90">
        <v>0.2</v>
      </c>
      <c r="K487" s="90">
        <v>0.2</v>
      </c>
      <c r="L487" s="90">
        <v>0.2</v>
      </c>
      <c r="M487" s="90">
        <v>0.2</v>
      </c>
      <c r="N487" s="90">
        <v>0.2</v>
      </c>
      <c r="O487" s="90">
        <v>0.2</v>
      </c>
      <c r="P487" s="90">
        <v>0.2</v>
      </c>
      <c r="Q487" s="90">
        <v>0.2</v>
      </c>
      <c r="R487" s="90">
        <v>0.2</v>
      </c>
      <c r="S487" s="90">
        <v>0.2</v>
      </c>
      <c r="T487" s="90">
        <v>0.2</v>
      </c>
      <c r="U487" s="90">
        <v>0.2</v>
      </c>
      <c r="V487" s="90">
        <v>0.2</v>
      </c>
      <c r="W487" s="90">
        <v>0.2</v>
      </c>
      <c r="X487" s="90">
        <v>0.2</v>
      </c>
      <c r="Y487" s="90">
        <v>0.2</v>
      </c>
      <c r="Z487" s="90">
        <v>0.2</v>
      </c>
      <c r="AA487" s="90">
        <v>0.2</v>
      </c>
      <c r="AB487" s="90">
        <v>0.2</v>
      </c>
      <c r="AC487" s="90">
        <v>0.2</v>
      </c>
      <c r="AD487" s="90">
        <v>0.2</v>
      </c>
      <c r="AE487" s="90">
        <v>0.2</v>
      </c>
      <c r="AF487" s="90">
        <v>0.2</v>
      </c>
      <c r="AG487" s="90">
        <v>0.2</v>
      </c>
      <c r="AH487" s="90">
        <v>0.2</v>
      </c>
      <c r="AI487" s="90">
        <v>0.2</v>
      </c>
      <c r="AJ487" s="90">
        <v>0.2</v>
      </c>
      <c r="AK487" s="90">
        <v>0.2</v>
      </c>
      <c r="AL487" s="90">
        <v>0.2</v>
      </c>
      <c r="AM487" s="90">
        <v>0.2</v>
      </c>
    </row>
    <row r="488" ht="20.25" hidden="1" customHeight="1" spans="3:48">
      <c r="C488" s="251"/>
      <c r="D488" s="251"/>
      <c r="E488" s="261"/>
      <c r="F488" s="261"/>
      <c r="G488" s="262"/>
      <c r="H488" s="260" t="s">
        <v>109</v>
      </c>
      <c r="I488" s="88" t="e">
        <f>SUM(J488:AM488)</f>
        <v>#REF!</v>
      </c>
      <c r="J488" s="88" t="e">
        <f>SUMIFS(#REF!,#REF!,$D$481,#REF!,$G$486,#REF!,J$480)</f>
        <v>#REF!</v>
      </c>
      <c r="K488" s="88" t="e">
        <f>SUMIFS(#REF!,#REF!,$D$481,#REF!,$G$486,#REF!,K$480)</f>
        <v>#REF!</v>
      </c>
      <c r="L488" s="88" t="e">
        <f>SUMIFS(#REF!,#REF!,$D$481,#REF!,$G$486,#REF!,L$480)</f>
        <v>#REF!</v>
      </c>
      <c r="M488" s="88" t="e">
        <f>SUMIFS(#REF!,#REF!,$D$481,#REF!,$G$486,#REF!,M$480)</f>
        <v>#REF!</v>
      </c>
      <c r="N488" s="88" t="e">
        <f>SUMIFS(#REF!,#REF!,$D$481,#REF!,$G$486,#REF!,N$480)</f>
        <v>#REF!</v>
      </c>
      <c r="O488" s="88" t="e">
        <f>SUMIFS(#REF!,#REF!,$D$481,#REF!,$G$486,#REF!,O$480)</f>
        <v>#REF!</v>
      </c>
      <c r="P488" s="88" t="e">
        <f>SUMIFS(#REF!,#REF!,$D$481,#REF!,$G$486,#REF!,P$480)</f>
        <v>#REF!</v>
      </c>
      <c r="Q488" s="88" t="e">
        <f>SUMIFS(#REF!,#REF!,$D$481,#REF!,$G$486,#REF!,Q$480)</f>
        <v>#REF!</v>
      </c>
      <c r="R488" s="88" t="e">
        <f>SUMIFS(#REF!,#REF!,$D$481,#REF!,$G$486,#REF!,R$480)</f>
        <v>#REF!</v>
      </c>
      <c r="S488" s="88" t="e">
        <f>SUMIFS(#REF!,#REF!,$D$481,#REF!,$G$486,#REF!,S$480)</f>
        <v>#REF!</v>
      </c>
      <c r="T488" s="88" t="e">
        <f>SUMIFS(#REF!,#REF!,$D$481,#REF!,$G$486,#REF!,T$480)</f>
        <v>#REF!</v>
      </c>
      <c r="U488" s="88" t="e">
        <f>SUMIFS(#REF!,#REF!,$D$481,#REF!,$G$486,#REF!,U$480)</f>
        <v>#REF!</v>
      </c>
      <c r="V488" s="88" t="e">
        <f>SUMIFS(#REF!,#REF!,$D$481,#REF!,$G$486,#REF!,V$480)</f>
        <v>#REF!</v>
      </c>
      <c r="W488" s="88" t="e">
        <f>SUMIFS(#REF!,#REF!,$D$481,#REF!,$G$486,#REF!,W$480)</f>
        <v>#REF!</v>
      </c>
      <c r="X488" s="88" t="e">
        <f>SUMIFS(#REF!,#REF!,$D$481,#REF!,$G$486,#REF!,X$480)</f>
        <v>#REF!</v>
      </c>
      <c r="Y488" s="88" t="e">
        <f>SUMIFS(#REF!,#REF!,$D$481,#REF!,$G$486,#REF!,Y$480)</f>
        <v>#REF!</v>
      </c>
      <c r="Z488" s="88" t="e">
        <f>SUMIFS(#REF!,#REF!,$D$481,#REF!,$G$486,#REF!,Z$480)</f>
        <v>#REF!</v>
      </c>
      <c r="AA488" s="88" t="e">
        <f>SUMIFS(#REF!,#REF!,$D$481,#REF!,$G$486,#REF!,AA$480)</f>
        <v>#REF!</v>
      </c>
      <c r="AB488" s="88" t="e">
        <f>SUMIFS(#REF!,#REF!,$D$481,#REF!,$G$486,#REF!,AB$480)</f>
        <v>#REF!</v>
      </c>
      <c r="AC488" s="88" t="e">
        <f>SUMIFS(#REF!,#REF!,$D$481,#REF!,$G$486,#REF!,AC$480)</f>
        <v>#REF!</v>
      </c>
      <c r="AD488" s="88" t="e">
        <f>SUMIFS(#REF!,#REF!,$D$481,#REF!,$G$486,#REF!,AD$480)</f>
        <v>#REF!</v>
      </c>
      <c r="AE488" s="88" t="e">
        <f>SUMIFS(#REF!,#REF!,$D$481,#REF!,$G$486,#REF!,AE$480)</f>
        <v>#REF!</v>
      </c>
      <c r="AF488" s="88" t="e">
        <f>SUMIFS(#REF!,#REF!,$D$481,#REF!,$G$486,#REF!,AF$480)</f>
        <v>#REF!</v>
      </c>
      <c r="AG488" s="88" t="e">
        <f>SUMIFS(#REF!,#REF!,$D$481,#REF!,$G$486,#REF!,AG$480)</f>
        <v>#REF!</v>
      </c>
      <c r="AH488" s="88" t="e">
        <f>SUMIFS(#REF!,#REF!,$D$481,#REF!,$G$486,#REF!,AH$480)</f>
        <v>#REF!</v>
      </c>
      <c r="AI488" s="88" t="e">
        <f>SUMIFS(#REF!,#REF!,$D$481,#REF!,$G$486,#REF!,AI$480)</f>
        <v>#REF!</v>
      </c>
      <c r="AJ488" s="88" t="e">
        <f>SUMIFS(#REF!,#REF!,$D$481,#REF!,$G$486,#REF!,AJ$480)</f>
        <v>#REF!</v>
      </c>
      <c r="AK488" s="88" t="e">
        <f>SUMIFS(#REF!,#REF!,$D$481,#REF!,$G$486,#REF!,AK$480)</f>
        <v>#REF!</v>
      </c>
      <c r="AL488" s="88" t="e">
        <f>SUMIFS(#REF!,#REF!,$D$481,#REF!,$G$486,#REF!,AL$480)</f>
        <v>#REF!</v>
      </c>
      <c r="AM488" s="88" t="e">
        <f>SUMIFS(#REF!,#REF!,$D$481,#REF!,$G$486,#REF!,AM$480)</f>
        <v>#REF!</v>
      </c>
    </row>
    <row r="489" ht="20.25" hidden="1" customHeight="1" spans="3:48">
      <c r="C489" s="251"/>
      <c r="D489" s="251"/>
      <c r="E489" s="261"/>
      <c r="F489" s="261"/>
      <c r="G489" s="262"/>
      <c r="H489" s="260" t="s">
        <v>110</v>
      </c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</row>
    <row r="490" ht="20.25" hidden="1" customHeight="1" spans="3:48">
      <c r="C490" s="251"/>
      <c r="D490" s="251"/>
      <c r="E490" s="261"/>
      <c r="F490" s="261"/>
      <c r="G490" s="262"/>
      <c r="H490" s="260" t="s">
        <v>111</v>
      </c>
      <c r="I490" s="90" t="e">
        <f t="shared" ref="I490:AM490" si="205">I488/I486</f>
        <v>#REF!</v>
      </c>
      <c r="J490" s="90" t="e">
        <f t="shared" si="205"/>
        <v>#REF!</v>
      </c>
      <c r="K490" s="90" t="e">
        <f t="shared" si="205"/>
        <v>#REF!</v>
      </c>
      <c r="L490" s="90" t="e">
        <f t="shared" si="205"/>
        <v>#REF!</v>
      </c>
      <c r="M490" s="90" t="e">
        <f t="shared" si="205"/>
        <v>#REF!</v>
      </c>
      <c r="N490" s="90" t="e">
        <f t="shared" si="205"/>
        <v>#REF!</v>
      </c>
      <c r="O490" s="90" t="e">
        <f t="shared" si="205"/>
        <v>#REF!</v>
      </c>
      <c r="P490" s="90" t="e">
        <f t="shared" si="205"/>
        <v>#REF!</v>
      </c>
      <c r="Q490" s="90" t="e">
        <f t="shared" si="205"/>
        <v>#REF!</v>
      </c>
      <c r="R490" s="90" t="e">
        <f t="shared" si="205"/>
        <v>#REF!</v>
      </c>
      <c r="S490" s="90" t="e">
        <f t="shared" si="205"/>
        <v>#REF!</v>
      </c>
      <c r="T490" s="90" t="e">
        <f t="shared" si="205"/>
        <v>#REF!</v>
      </c>
      <c r="U490" s="90" t="e">
        <f t="shared" si="205"/>
        <v>#REF!</v>
      </c>
      <c r="V490" s="90" t="e">
        <f t="shared" si="205"/>
        <v>#REF!</v>
      </c>
      <c r="W490" s="90" t="e">
        <f t="shared" si="205"/>
        <v>#REF!</v>
      </c>
      <c r="X490" s="90" t="e">
        <f t="shared" si="205"/>
        <v>#REF!</v>
      </c>
      <c r="Y490" s="90" t="e">
        <f t="shared" si="205"/>
        <v>#REF!</v>
      </c>
      <c r="Z490" s="90" t="e">
        <f t="shared" si="205"/>
        <v>#REF!</v>
      </c>
      <c r="AA490" s="90" t="e">
        <f t="shared" si="205"/>
        <v>#REF!</v>
      </c>
      <c r="AB490" s="90" t="e">
        <f t="shared" si="205"/>
        <v>#REF!</v>
      </c>
      <c r="AC490" s="90" t="e">
        <f t="shared" si="205"/>
        <v>#REF!</v>
      </c>
      <c r="AD490" s="90" t="e">
        <f t="shared" si="205"/>
        <v>#REF!</v>
      </c>
      <c r="AE490" s="90" t="e">
        <f t="shared" si="205"/>
        <v>#REF!</v>
      </c>
      <c r="AF490" s="90" t="e">
        <f t="shared" si="205"/>
        <v>#REF!</v>
      </c>
      <c r="AG490" s="90" t="e">
        <f t="shared" si="205"/>
        <v>#REF!</v>
      </c>
      <c r="AH490" s="90" t="e">
        <f t="shared" si="205"/>
        <v>#REF!</v>
      </c>
      <c r="AI490" s="90" t="e">
        <f t="shared" si="205"/>
        <v>#REF!</v>
      </c>
      <c r="AJ490" s="90" t="e">
        <f t="shared" si="205"/>
        <v>#REF!</v>
      </c>
      <c r="AK490" s="90" t="e">
        <f t="shared" si="205"/>
        <v>#REF!</v>
      </c>
      <c r="AL490" s="90" t="e">
        <f t="shared" si="205"/>
        <v>#REF!</v>
      </c>
      <c r="AM490" s="90" t="e">
        <f t="shared" si="205"/>
        <v>#REF!</v>
      </c>
    </row>
    <row r="491" ht="20.25" hidden="1" customHeight="1" spans="3:48">
      <c r="C491" s="251"/>
      <c r="D491" s="251"/>
      <c r="E491" s="261"/>
      <c r="F491" s="261"/>
      <c r="G491" s="259" t="s">
        <v>117</v>
      </c>
      <c r="H491" s="260" t="s">
        <v>107</v>
      </c>
      <c r="I491" s="88">
        <v>19578</v>
      </c>
      <c r="J491" s="88">
        <v>782</v>
      </c>
      <c r="K491" s="88">
        <v>751</v>
      </c>
      <c r="L491" s="88">
        <v>751</v>
      </c>
      <c r="M491" s="88">
        <v>587</v>
      </c>
      <c r="N491" s="88">
        <v>542</v>
      </c>
      <c r="O491" s="88">
        <v>490</v>
      </c>
      <c r="P491" s="88">
        <v>529</v>
      </c>
      <c r="Q491" s="88">
        <v>527</v>
      </c>
      <c r="R491" s="88">
        <v>544</v>
      </c>
      <c r="S491" s="88">
        <v>559</v>
      </c>
      <c r="T491" s="88">
        <v>559</v>
      </c>
      <c r="U491" s="88">
        <v>542</v>
      </c>
      <c r="V491" s="88">
        <v>557</v>
      </c>
      <c r="W491" s="88">
        <v>714</v>
      </c>
      <c r="X491" s="88">
        <v>726</v>
      </c>
      <c r="Y491" s="88">
        <v>898</v>
      </c>
      <c r="Z491" s="88">
        <v>1124</v>
      </c>
      <c r="AA491" s="88">
        <v>2385</v>
      </c>
      <c r="AB491" s="88">
        <v>910</v>
      </c>
      <c r="AC491" s="88">
        <v>748</v>
      </c>
      <c r="AD491" s="88">
        <v>425</v>
      </c>
      <c r="AE491" s="88">
        <v>425</v>
      </c>
      <c r="AF491" s="88">
        <v>428</v>
      </c>
      <c r="AG491" s="88">
        <v>445</v>
      </c>
      <c r="AH491" s="88">
        <v>428</v>
      </c>
      <c r="AI491" s="88">
        <v>462</v>
      </c>
      <c r="AJ491" s="88">
        <v>395</v>
      </c>
      <c r="AK491" s="88">
        <v>452</v>
      </c>
      <c r="AL491" s="88">
        <v>447</v>
      </c>
      <c r="AM491" s="88">
        <v>447</v>
      </c>
    </row>
    <row r="492" ht="20.25" hidden="1" customHeight="1" spans="3:48">
      <c r="C492" s="251"/>
      <c r="D492" s="251"/>
      <c r="E492" s="261"/>
      <c r="F492" s="261"/>
      <c r="G492" s="262"/>
      <c r="H492" s="260" t="s">
        <v>108</v>
      </c>
      <c r="I492" s="90">
        <v>0.15</v>
      </c>
      <c r="J492" s="90">
        <v>0.15</v>
      </c>
      <c r="K492" s="90">
        <v>0.15</v>
      </c>
      <c r="L492" s="90">
        <v>0.15</v>
      </c>
      <c r="M492" s="90">
        <v>0.15</v>
      </c>
      <c r="N492" s="90">
        <v>0.15</v>
      </c>
      <c r="O492" s="90">
        <v>0.15</v>
      </c>
      <c r="P492" s="90">
        <v>0.15</v>
      </c>
      <c r="Q492" s="90">
        <v>0.15</v>
      </c>
      <c r="R492" s="90">
        <v>0.15</v>
      </c>
      <c r="S492" s="90">
        <v>0.15</v>
      </c>
      <c r="T492" s="90">
        <v>0.15</v>
      </c>
      <c r="U492" s="90">
        <v>0.15</v>
      </c>
      <c r="V492" s="90">
        <v>0.15</v>
      </c>
      <c r="W492" s="90">
        <v>0.15</v>
      </c>
      <c r="X492" s="90">
        <v>0.15</v>
      </c>
      <c r="Y492" s="90">
        <v>0.15</v>
      </c>
      <c r="Z492" s="90">
        <v>0.15</v>
      </c>
      <c r="AA492" s="90">
        <v>0.15</v>
      </c>
      <c r="AB492" s="90">
        <v>0.15</v>
      </c>
      <c r="AC492" s="90">
        <v>0.15</v>
      </c>
      <c r="AD492" s="90">
        <v>0.15</v>
      </c>
      <c r="AE492" s="90">
        <v>0.15</v>
      </c>
      <c r="AF492" s="90">
        <v>0.15</v>
      </c>
      <c r="AG492" s="90">
        <v>0.15</v>
      </c>
      <c r="AH492" s="90">
        <v>0.15</v>
      </c>
      <c r="AI492" s="90">
        <v>0.15</v>
      </c>
      <c r="AJ492" s="90">
        <v>0.15</v>
      </c>
      <c r="AK492" s="90">
        <v>0.15</v>
      </c>
      <c r="AL492" s="90">
        <v>0.15</v>
      </c>
      <c r="AM492" s="90">
        <v>0.15</v>
      </c>
    </row>
    <row r="493" ht="20.25" hidden="1" customHeight="1" spans="3:48">
      <c r="C493" s="251"/>
      <c r="D493" s="251"/>
      <c r="E493" s="261"/>
      <c r="F493" s="261"/>
      <c r="G493" s="262"/>
      <c r="H493" s="260" t="s">
        <v>109</v>
      </c>
      <c r="I493" s="88" t="e">
        <f>SUM(J493:AM493)</f>
        <v>#REF!</v>
      </c>
      <c r="J493" s="88" t="e">
        <f>SUMIFS(#REF!,#REF!,$D$481,#REF!,$G$491,#REF!,J$480)</f>
        <v>#REF!</v>
      </c>
      <c r="K493" s="88" t="e">
        <f>SUMIFS(#REF!,#REF!,$D$481,#REF!,$G$491,#REF!,K$480)</f>
        <v>#REF!</v>
      </c>
      <c r="L493" s="88" t="e">
        <f>SUMIFS(#REF!,#REF!,$D$481,#REF!,$G$491,#REF!,L$480)</f>
        <v>#REF!</v>
      </c>
      <c r="M493" s="88" t="e">
        <f>SUMIFS(#REF!,#REF!,$D$481,#REF!,$G$491,#REF!,M$480)</f>
        <v>#REF!</v>
      </c>
      <c r="N493" s="88" t="e">
        <f>SUMIFS(#REF!,#REF!,$D$481,#REF!,$G$491,#REF!,N$480)</f>
        <v>#REF!</v>
      </c>
      <c r="O493" s="88" t="e">
        <f>SUMIFS(#REF!,#REF!,$D$481,#REF!,$G$491,#REF!,O$480)</f>
        <v>#REF!</v>
      </c>
      <c r="P493" s="88" t="e">
        <f>SUMIFS(#REF!,#REF!,$D$481,#REF!,$G$491,#REF!,P$480)</f>
        <v>#REF!</v>
      </c>
      <c r="Q493" s="88" t="e">
        <f>SUMIFS(#REF!,#REF!,$D$481,#REF!,$G$491,#REF!,Q$480)</f>
        <v>#REF!</v>
      </c>
      <c r="R493" s="88" t="e">
        <f>SUMIFS(#REF!,#REF!,$D$481,#REF!,$G$491,#REF!,R$480)</f>
        <v>#REF!</v>
      </c>
      <c r="S493" s="88" t="e">
        <f>SUMIFS(#REF!,#REF!,$D$481,#REF!,$G$491,#REF!,S$480)</f>
        <v>#REF!</v>
      </c>
      <c r="T493" s="88" t="e">
        <f>SUMIFS(#REF!,#REF!,$D$481,#REF!,$G$491,#REF!,T$480)</f>
        <v>#REF!</v>
      </c>
      <c r="U493" s="88" t="e">
        <f>SUMIFS(#REF!,#REF!,$D$481,#REF!,$G$491,#REF!,U$480)</f>
        <v>#REF!</v>
      </c>
      <c r="V493" s="88" t="e">
        <f>SUMIFS(#REF!,#REF!,$D$481,#REF!,$G$491,#REF!,V$480)</f>
        <v>#REF!</v>
      </c>
      <c r="W493" s="88" t="e">
        <f>SUMIFS(#REF!,#REF!,$D$481,#REF!,$G$491,#REF!,W$480)</f>
        <v>#REF!</v>
      </c>
      <c r="X493" s="88" t="e">
        <f>SUMIFS(#REF!,#REF!,$D$481,#REF!,$G$491,#REF!,X$480)</f>
        <v>#REF!</v>
      </c>
      <c r="Y493" s="88" t="e">
        <f>SUMIFS(#REF!,#REF!,$D$481,#REF!,$G$491,#REF!,Y$480)</f>
        <v>#REF!</v>
      </c>
      <c r="Z493" s="88" t="e">
        <f>SUMIFS(#REF!,#REF!,$D$481,#REF!,$G$491,#REF!,Z$480)</f>
        <v>#REF!</v>
      </c>
      <c r="AA493" s="88" t="e">
        <f>SUMIFS(#REF!,#REF!,$D$481,#REF!,$G$491,#REF!,AA$480)</f>
        <v>#REF!</v>
      </c>
      <c r="AB493" s="88" t="e">
        <f>SUMIFS(#REF!,#REF!,$D$481,#REF!,$G$491,#REF!,AB$480)</f>
        <v>#REF!</v>
      </c>
      <c r="AC493" s="88" t="e">
        <f>SUMIFS(#REF!,#REF!,$D$481,#REF!,$G$491,#REF!,AC$480)</f>
        <v>#REF!</v>
      </c>
      <c r="AD493" s="88" t="e">
        <f>SUMIFS(#REF!,#REF!,$D$481,#REF!,$G$491,#REF!,AD$480)</f>
        <v>#REF!</v>
      </c>
      <c r="AE493" s="88" t="e">
        <f>SUMIFS(#REF!,#REF!,$D$481,#REF!,$G$491,#REF!,AE$480)</f>
        <v>#REF!</v>
      </c>
      <c r="AF493" s="88" t="e">
        <f>SUMIFS(#REF!,#REF!,$D$481,#REF!,$G$491,#REF!,AF$480)</f>
        <v>#REF!</v>
      </c>
      <c r="AG493" s="88" t="e">
        <f>SUMIFS(#REF!,#REF!,$D$481,#REF!,$G$491,#REF!,AG$480)</f>
        <v>#REF!</v>
      </c>
      <c r="AH493" s="88" t="e">
        <f>SUMIFS(#REF!,#REF!,$D$481,#REF!,$G$491,#REF!,AH$480)</f>
        <v>#REF!</v>
      </c>
      <c r="AI493" s="88" t="e">
        <f>SUMIFS(#REF!,#REF!,$D$481,#REF!,$G$491,#REF!,AI$480)</f>
        <v>#REF!</v>
      </c>
      <c r="AJ493" s="88" t="e">
        <f>SUMIFS(#REF!,#REF!,$D$481,#REF!,$G$491,#REF!,AJ$480)</f>
        <v>#REF!</v>
      </c>
      <c r="AK493" s="88" t="e">
        <f>SUMIFS(#REF!,#REF!,$D$481,#REF!,$G$491,#REF!,AK$480)</f>
        <v>#REF!</v>
      </c>
      <c r="AL493" s="88" t="e">
        <f>SUMIFS(#REF!,#REF!,$D$481,#REF!,$G$491,#REF!,AL$480)</f>
        <v>#REF!</v>
      </c>
      <c r="AM493" s="88" t="e">
        <f>SUMIFS(#REF!,#REF!,$D$481,#REF!,$G$491,#REF!,AM$480)</f>
        <v>#REF!</v>
      </c>
    </row>
    <row r="494" ht="20.25" hidden="1" customHeight="1" spans="3:48">
      <c r="C494" s="251"/>
      <c r="D494" s="251"/>
      <c r="E494" s="261"/>
      <c r="F494" s="261"/>
      <c r="G494" s="262"/>
      <c r="H494" s="260" t="s">
        <v>110</v>
      </c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</row>
    <row r="495" ht="20.25" hidden="1" customHeight="1" spans="3:48">
      <c r="C495" s="251"/>
      <c r="D495" s="251"/>
      <c r="E495" s="261"/>
      <c r="F495" s="261"/>
      <c r="G495" s="262"/>
      <c r="H495" s="260" t="s">
        <v>111</v>
      </c>
      <c r="I495" s="90" t="e">
        <f t="shared" ref="I495:AM495" si="206">I493/I491</f>
        <v>#REF!</v>
      </c>
      <c r="J495" s="90" t="e">
        <f t="shared" si="206"/>
        <v>#REF!</v>
      </c>
      <c r="K495" s="90" t="e">
        <f t="shared" si="206"/>
        <v>#REF!</v>
      </c>
      <c r="L495" s="90" t="e">
        <f t="shared" si="206"/>
        <v>#REF!</v>
      </c>
      <c r="M495" s="90" t="e">
        <f t="shared" si="206"/>
        <v>#REF!</v>
      </c>
      <c r="N495" s="90" t="e">
        <f t="shared" si="206"/>
        <v>#REF!</v>
      </c>
      <c r="O495" s="90" t="e">
        <f t="shared" si="206"/>
        <v>#REF!</v>
      </c>
      <c r="P495" s="90" t="e">
        <f t="shared" si="206"/>
        <v>#REF!</v>
      </c>
      <c r="Q495" s="90" t="e">
        <f t="shared" si="206"/>
        <v>#REF!</v>
      </c>
      <c r="R495" s="90" t="e">
        <f t="shared" si="206"/>
        <v>#REF!</v>
      </c>
      <c r="S495" s="90" t="e">
        <f t="shared" si="206"/>
        <v>#REF!</v>
      </c>
      <c r="T495" s="90" t="e">
        <f t="shared" si="206"/>
        <v>#REF!</v>
      </c>
      <c r="U495" s="90" t="e">
        <f t="shared" si="206"/>
        <v>#REF!</v>
      </c>
      <c r="V495" s="90" t="e">
        <f t="shared" si="206"/>
        <v>#REF!</v>
      </c>
      <c r="W495" s="90" t="e">
        <f t="shared" si="206"/>
        <v>#REF!</v>
      </c>
      <c r="X495" s="90" t="e">
        <f t="shared" si="206"/>
        <v>#REF!</v>
      </c>
      <c r="Y495" s="90" t="e">
        <f t="shared" si="206"/>
        <v>#REF!</v>
      </c>
      <c r="Z495" s="90" t="e">
        <f t="shared" si="206"/>
        <v>#REF!</v>
      </c>
      <c r="AA495" s="90" t="e">
        <f t="shared" si="206"/>
        <v>#REF!</v>
      </c>
      <c r="AB495" s="90" t="e">
        <f t="shared" si="206"/>
        <v>#REF!</v>
      </c>
      <c r="AC495" s="90" t="e">
        <f t="shared" si="206"/>
        <v>#REF!</v>
      </c>
      <c r="AD495" s="90" t="e">
        <f t="shared" si="206"/>
        <v>#REF!</v>
      </c>
      <c r="AE495" s="90" t="e">
        <f t="shared" si="206"/>
        <v>#REF!</v>
      </c>
      <c r="AF495" s="90" t="e">
        <f t="shared" si="206"/>
        <v>#REF!</v>
      </c>
      <c r="AG495" s="90" t="e">
        <f t="shared" si="206"/>
        <v>#REF!</v>
      </c>
      <c r="AH495" s="90" t="e">
        <f t="shared" si="206"/>
        <v>#REF!</v>
      </c>
      <c r="AI495" s="90" t="e">
        <f t="shared" si="206"/>
        <v>#REF!</v>
      </c>
      <c r="AJ495" s="90" t="e">
        <f t="shared" si="206"/>
        <v>#REF!</v>
      </c>
      <c r="AK495" s="90" t="e">
        <f t="shared" si="206"/>
        <v>#REF!</v>
      </c>
      <c r="AL495" s="90" t="e">
        <f t="shared" si="206"/>
        <v>#REF!</v>
      </c>
      <c r="AM495" s="90" t="e">
        <f t="shared" si="206"/>
        <v>#REF!</v>
      </c>
    </row>
    <row r="496" ht="20.25" hidden="1" customHeight="1" spans="3:48">
      <c r="C496" s="251"/>
      <c r="D496" s="251"/>
      <c r="E496" s="261"/>
      <c r="F496" s="261"/>
      <c r="G496" s="259" t="s">
        <v>118</v>
      </c>
      <c r="H496" s="260" t="s">
        <v>107</v>
      </c>
      <c r="I496" s="88">
        <v>26104</v>
      </c>
      <c r="J496" s="88">
        <v>1042</v>
      </c>
      <c r="K496" s="88">
        <v>1001</v>
      </c>
      <c r="L496" s="88">
        <v>1001</v>
      </c>
      <c r="M496" s="88">
        <v>782</v>
      </c>
      <c r="N496" s="88">
        <v>722</v>
      </c>
      <c r="O496" s="88">
        <v>653</v>
      </c>
      <c r="P496" s="88">
        <v>705</v>
      </c>
      <c r="Q496" s="88">
        <v>702</v>
      </c>
      <c r="R496" s="88">
        <v>725</v>
      </c>
      <c r="S496" s="88">
        <v>745</v>
      </c>
      <c r="T496" s="88">
        <v>745</v>
      </c>
      <c r="U496" s="88">
        <v>722</v>
      </c>
      <c r="V496" s="88">
        <v>742</v>
      </c>
      <c r="W496" s="88">
        <v>952</v>
      </c>
      <c r="X496" s="88">
        <v>968</v>
      </c>
      <c r="Y496" s="88">
        <v>1198</v>
      </c>
      <c r="Z496" s="88">
        <v>1499</v>
      </c>
      <c r="AA496" s="88">
        <v>3180</v>
      </c>
      <c r="AB496" s="88">
        <v>1213</v>
      </c>
      <c r="AC496" s="88">
        <v>998</v>
      </c>
      <c r="AD496" s="88">
        <v>567</v>
      </c>
      <c r="AE496" s="88">
        <v>567</v>
      </c>
      <c r="AF496" s="88">
        <v>570</v>
      </c>
      <c r="AG496" s="88">
        <v>593</v>
      </c>
      <c r="AH496" s="88">
        <v>570</v>
      </c>
      <c r="AI496" s="88">
        <v>616</v>
      </c>
      <c r="AJ496" s="88">
        <v>527</v>
      </c>
      <c r="AK496" s="88">
        <v>602</v>
      </c>
      <c r="AL496" s="88">
        <v>596</v>
      </c>
      <c r="AM496" s="88">
        <v>596</v>
      </c>
    </row>
    <row r="497" ht="20.25" hidden="1" customHeight="1" spans="3:39">
      <c r="C497" s="251"/>
      <c r="D497" s="251"/>
      <c r="E497" s="261"/>
      <c r="F497" s="261"/>
      <c r="G497" s="262"/>
      <c r="H497" s="260" t="s">
        <v>108</v>
      </c>
      <c r="I497" s="90">
        <v>0.2</v>
      </c>
      <c r="J497" s="90">
        <v>0.2</v>
      </c>
      <c r="K497" s="90">
        <v>0.2</v>
      </c>
      <c r="L497" s="90">
        <v>0.2</v>
      </c>
      <c r="M497" s="90">
        <v>0.2</v>
      </c>
      <c r="N497" s="90">
        <v>0.2</v>
      </c>
      <c r="O497" s="90">
        <v>0.2</v>
      </c>
      <c r="P497" s="90">
        <v>0.2</v>
      </c>
      <c r="Q497" s="90">
        <v>0.2</v>
      </c>
      <c r="R497" s="90">
        <v>0.2</v>
      </c>
      <c r="S497" s="90">
        <v>0.2</v>
      </c>
      <c r="T497" s="90">
        <v>0.2</v>
      </c>
      <c r="U497" s="90">
        <v>0.2</v>
      </c>
      <c r="V497" s="90">
        <v>0.2</v>
      </c>
      <c r="W497" s="90">
        <v>0.2</v>
      </c>
      <c r="X497" s="90">
        <v>0.2</v>
      </c>
      <c r="Y497" s="90">
        <v>0.2</v>
      </c>
      <c r="Z497" s="90">
        <v>0.2</v>
      </c>
      <c r="AA497" s="90">
        <v>0.2</v>
      </c>
      <c r="AB497" s="90">
        <v>0.2</v>
      </c>
      <c r="AC497" s="90">
        <v>0.2</v>
      </c>
      <c r="AD497" s="90">
        <v>0.2</v>
      </c>
      <c r="AE497" s="90">
        <v>0.2</v>
      </c>
      <c r="AF497" s="90">
        <v>0.2</v>
      </c>
      <c r="AG497" s="90">
        <v>0.2</v>
      </c>
      <c r="AH497" s="90">
        <v>0.2</v>
      </c>
      <c r="AI497" s="90">
        <v>0.2</v>
      </c>
      <c r="AJ497" s="90">
        <v>0.2</v>
      </c>
      <c r="AK497" s="90">
        <v>0.2</v>
      </c>
      <c r="AL497" s="90">
        <v>0.2</v>
      </c>
      <c r="AM497" s="90">
        <v>0.2</v>
      </c>
    </row>
    <row r="498" ht="20.25" hidden="1" customHeight="1" spans="3:39">
      <c r="C498" s="251"/>
      <c r="D498" s="251"/>
      <c r="E498" s="261"/>
      <c r="F498" s="261"/>
      <c r="G498" s="262"/>
      <c r="H498" s="260" t="s">
        <v>109</v>
      </c>
      <c r="I498" s="88" t="e">
        <f>SUM(J498:AM498)</f>
        <v>#REF!</v>
      </c>
      <c r="J498" s="88" t="e">
        <f>SUMIFS(#REF!,#REF!,$D$481,#REF!,$G$496,#REF!,J$480)</f>
        <v>#REF!</v>
      </c>
      <c r="K498" s="88" t="e">
        <f>SUMIFS(#REF!,#REF!,$D$481,#REF!,$G$496,#REF!,K$480)</f>
        <v>#REF!</v>
      </c>
      <c r="L498" s="88" t="e">
        <f>SUMIFS(#REF!,#REF!,$D$481,#REF!,$G$496,#REF!,L$480)</f>
        <v>#REF!</v>
      </c>
      <c r="M498" s="88" t="e">
        <f>SUMIFS(#REF!,#REF!,$D$481,#REF!,$G$496,#REF!,M$480)</f>
        <v>#REF!</v>
      </c>
      <c r="N498" s="88" t="e">
        <f>SUMIFS(#REF!,#REF!,$D$481,#REF!,$G$496,#REF!,N$480)</f>
        <v>#REF!</v>
      </c>
      <c r="O498" s="88" t="e">
        <f>SUMIFS(#REF!,#REF!,$D$481,#REF!,$G$496,#REF!,O$480)</f>
        <v>#REF!</v>
      </c>
      <c r="P498" s="88" t="e">
        <f>SUMIFS(#REF!,#REF!,$D$481,#REF!,$G$496,#REF!,P$480)</f>
        <v>#REF!</v>
      </c>
      <c r="Q498" s="88" t="e">
        <f>SUMIFS(#REF!,#REF!,$D$481,#REF!,$G$496,#REF!,Q$480)</f>
        <v>#REF!</v>
      </c>
      <c r="R498" s="88" t="e">
        <f>SUMIFS(#REF!,#REF!,$D$481,#REF!,$G$496,#REF!,R$480)</f>
        <v>#REF!</v>
      </c>
      <c r="S498" s="88" t="e">
        <f>SUMIFS(#REF!,#REF!,$D$481,#REF!,$G$496,#REF!,S$480)</f>
        <v>#REF!</v>
      </c>
      <c r="T498" s="88" t="e">
        <f>SUMIFS(#REF!,#REF!,$D$481,#REF!,$G$496,#REF!,T$480)</f>
        <v>#REF!</v>
      </c>
      <c r="U498" s="88" t="e">
        <f>SUMIFS(#REF!,#REF!,$D$481,#REF!,$G$496,#REF!,U$480)</f>
        <v>#REF!</v>
      </c>
      <c r="V498" s="88" t="e">
        <f>SUMIFS(#REF!,#REF!,$D$481,#REF!,$G$496,#REF!,V$480)</f>
        <v>#REF!</v>
      </c>
      <c r="W498" s="88" t="e">
        <f>SUMIFS(#REF!,#REF!,$D$481,#REF!,$G$496,#REF!,W$480)</f>
        <v>#REF!</v>
      </c>
      <c r="X498" s="88" t="e">
        <f>SUMIFS(#REF!,#REF!,$D$481,#REF!,$G$496,#REF!,X$480)</f>
        <v>#REF!</v>
      </c>
      <c r="Y498" s="88" t="e">
        <f>SUMIFS(#REF!,#REF!,$D$481,#REF!,$G$496,#REF!,Y$480)</f>
        <v>#REF!</v>
      </c>
      <c r="Z498" s="88" t="e">
        <f>SUMIFS(#REF!,#REF!,$D$481,#REF!,$G$496,#REF!,Z$480)</f>
        <v>#REF!</v>
      </c>
      <c r="AA498" s="88" t="e">
        <f>SUMIFS(#REF!,#REF!,$D$481,#REF!,$G$496,#REF!,AA$480)</f>
        <v>#REF!</v>
      </c>
      <c r="AB498" s="88" t="e">
        <f>SUMIFS(#REF!,#REF!,$D$481,#REF!,$G$496,#REF!,AB$480)</f>
        <v>#REF!</v>
      </c>
      <c r="AC498" s="88" t="e">
        <f>SUMIFS(#REF!,#REF!,$D$481,#REF!,$G$496,#REF!,AC$480)</f>
        <v>#REF!</v>
      </c>
      <c r="AD498" s="88" t="e">
        <f>SUMIFS(#REF!,#REF!,$D$481,#REF!,$G$496,#REF!,AD$480)</f>
        <v>#REF!</v>
      </c>
      <c r="AE498" s="88" t="e">
        <f>SUMIFS(#REF!,#REF!,$D$481,#REF!,$G$496,#REF!,AE$480)</f>
        <v>#REF!</v>
      </c>
      <c r="AF498" s="88" t="e">
        <f>SUMIFS(#REF!,#REF!,$D$481,#REF!,$G$496,#REF!,AF$480)</f>
        <v>#REF!</v>
      </c>
      <c r="AG498" s="88" t="e">
        <f>SUMIFS(#REF!,#REF!,$D$481,#REF!,$G$496,#REF!,AG$480)</f>
        <v>#REF!</v>
      </c>
      <c r="AH498" s="88" t="e">
        <f>SUMIFS(#REF!,#REF!,$D$481,#REF!,$G$496,#REF!,AH$480)</f>
        <v>#REF!</v>
      </c>
      <c r="AI498" s="88" t="e">
        <f>SUMIFS(#REF!,#REF!,$D$481,#REF!,$G$496,#REF!,AI$480)</f>
        <v>#REF!</v>
      </c>
      <c r="AJ498" s="88" t="e">
        <f>SUMIFS(#REF!,#REF!,$D$481,#REF!,$G$496,#REF!,AJ$480)</f>
        <v>#REF!</v>
      </c>
      <c r="AK498" s="88" t="e">
        <f>SUMIFS(#REF!,#REF!,$D$481,#REF!,$G$496,#REF!,AK$480)</f>
        <v>#REF!</v>
      </c>
      <c r="AL498" s="88" t="e">
        <f>SUMIFS(#REF!,#REF!,$D$481,#REF!,$G$496,#REF!,AL$480)</f>
        <v>#REF!</v>
      </c>
      <c r="AM498" s="88" t="e">
        <f>SUMIFS(#REF!,#REF!,$D$481,#REF!,$G$496,#REF!,AM$480)</f>
        <v>#REF!</v>
      </c>
    </row>
    <row r="499" ht="20.25" hidden="1" customHeight="1" spans="3:39">
      <c r="C499" s="251"/>
      <c r="D499" s="251"/>
      <c r="E499" s="261"/>
      <c r="F499" s="261"/>
      <c r="G499" s="262"/>
      <c r="H499" s="260" t="s">
        <v>110</v>
      </c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</row>
    <row r="500" ht="20.25" hidden="1" customHeight="1" spans="3:39">
      <c r="C500" s="251"/>
      <c r="D500" s="251"/>
      <c r="E500" s="261"/>
      <c r="F500" s="261"/>
      <c r="G500" s="262"/>
      <c r="H500" s="260" t="s">
        <v>111</v>
      </c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</row>
    <row r="501" ht="20.25" hidden="1" customHeight="1" spans="3:39">
      <c r="C501" s="251"/>
      <c r="D501" s="251"/>
      <c r="E501" s="261"/>
      <c r="F501" s="261"/>
      <c r="G501" s="259" t="s">
        <v>119</v>
      </c>
      <c r="H501" s="260" t="s">
        <v>107</v>
      </c>
      <c r="I501" s="88">
        <v>6526</v>
      </c>
      <c r="J501" s="88">
        <v>261</v>
      </c>
      <c r="K501" s="88">
        <v>250</v>
      </c>
      <c r="L501" s="88">
        <v>250</v>
      </c>
      <c r="M501" s="88">
        <v>196</v>
      </c>
      <c r="N501" s="88">
        <v>181</v>
      </c>
      <c r="O501" s="88">
        <v>163</v>
      </c>
      <c r="P501" s="88">
        <v>176</v>
      </c>
      <c r="Q501" s="88">
        <v>176</v>
      </c>
      <c r="R501" s="88">
        <v>181</v>
      </c>
      <c r="S501" s="88">
        <v>186</v>
      </c>
      <c r="T501" s="88">
        <v>186</v>
      </c>
      <c r="U501" s="88">
        <v>181</v>
      </c>
      <c r="V501" s="88">
        <v>186</v>
      </c>
      <c r="W501" s="88">
        <v>238</v>
      </c>
      <c r="X501" s="88">
        <v>242</v>
      </c>
      <c r="Y501" s="88">
        <v>299</v>
      </c>
      <c r="Z501" s="88">
        <v>375</v>
      </c>
      <c r="AA501" s="88">
        <v>795</v>
      </c>
      <c r="AB501" s="88">
        <v>303</v>
      </c>
      <c r="AC501" s="88">
        <v>249</v>
      </c>
      <c r="AD501" s="88">
        <v>142</v>
      </c>
      <c r="AE501" s="88">
        <v>142</v>
      </c>
      <c r="AF501" s="88">
        <v>143</v>
      </c>
      <c r="AG501" s="88">
        <v>148</v>
      </c>
      <c r="AH501" s="88">
        <v>143</v>
      </c>
      <c r="AI501" s="88">
        <v>154</v>
      </c>
      <c r="AJ501" s="88">
        <v>132</v>
      </c>
      <c r="AK501" s="88">
        <v>151</v>
      </c>
      <c r="AL501" s="88">
        <v>149</v>
      </c>
      <c r="AM501" s="88">
        <v>149</v>
      </c>
    </row>
    <row r="502" ht="20.25" hidden="1" customHeight="1" spans="3:39">
      <c r="C502" s="251"/>
      <c r="D502" s="251"/>
      <c r="E502" s="261"/>
      <c r="F502" s="261"/>
      <c r="G502" s="262"/>
      <c r="H502" s="260" t="s">
        <v>108</v>
      </c>
      <c r="I502" s="90">
        <v>0.05</v>
      </c>
      <c r="J502" s="90">
        <v>0.05</v>
      </c>
      <c r="K502" s="90">
        <v>0.05</v>
      </c>
      <c r="L502" s="90">
        <v>0.05</v>
      </c>
      <c r="M502" s="90">
        <v>0.05</v>
      </c>
      <c r="N502" s="90">
        <v>0.05</v>
      </c>
      <c r="O502" s="90">
        <v>0.05</v>
      </c>
      <c r="P502" s="90">
        <v>0.05</v>
      </c>
      <c r="Q502" s="90">
        <v>0.05</v>
      </c>
      <c r="R502" s="90">
        <v>0.05</v>
      </c>
      <c r="S502" s="90">
        <v>0.05</v>
      </c>
      <c r="T502" s="90">
        <v>0.05</v>
      </c>
      <c r="U502" s="90">
        <v>0.05</v>
      </c>
      <c r="V502" s="90">
        <v>0.05</v>
      </c>
      <c r="W502" s="90">
        <v>0.05</v>
      </c>
      <c r="X502" s="90">
        <v>0.05</v>
      </c>
      <c r="Y502" s="90">
        <v>0.05</v>
      </c>
      <c r="Z502" s="90">
        <v>0.05</v>
      </c>
      <c r="AA502" s="90">
        <v>0.05</v>
      </c>
      <c r="AB502" s="90">
        <v>0.05</v>
      </c>
      <c r="AC502" s="90">
        <v>0.05</v>
      </c>
      <c r="AD502" s="90">
        <v>0.05</v>
      </c>
      <c r="AE502" s="90">
        <v>0.05</v>
      </c>
      <c r="AF502" s="90">
        <v>0.05</v>
      </c>
      <c r="AG502" s="90">
        <v>0.05</v>
      </c>
      <c r="AH502" s="90">
        <v>0.05</v>
      </c>
      <c r="AI502" s="90">
        <v>0.05</v>
      </c>
      <c r="AJ502" s="90">
        <v>0.05</v>
      </c>
      <c r="AK502" s="90">
        <v>0.05</v>
      </c>
      <c r="AL502" s="90">
        <v>0.05</v>
      </c>
      <c r="AM502" s="90">
        <v>0.05</v>
      </c>
    </row>
    <row r="503" ht="20.25" hidden="1" customHeight="1" spans="3:39">
      <c r="C503" s="251"/>
      <c r="D503" s="251"/>
      <c r="E503" s="261"/>
      <c r="F503" s="261"/>
      <c r="G503" s="262"/>
      <c r="H503" s="260" t="s">
        <v>109</v>
      </c>
      <c r="I503" s="88" t="e">
        <f>SUM(J503:AM503)</f>
        <v>#REF!</v>
      </c>
      <c r="J503" s="88" t="e">
        <f>SUMIFS(#REF!,#REF!,$D$481,#REF!,$G$501,#REF!,J$480)</f>
        <v>#REF!</v>
      </c>
      <c r="K503" s="88" t="e">
        <f>SUMIFS(#REF!,#REF!,$D$481,#REF!,$G$501,#REF!,K$480)</f>
        <v>#REF!</v>
      </c>
      <c r="L503" s="88" t="e">
        <f>SUMIFS(#REF!,#REF!,$D$481,#REF!,$G$501,#REF!,L$480)</f>
        <v>#REF!</v>
      </c>
      <c r="M503" s="88" t="e">
        <f>SUMIFS(#REF!,#REF!,$D$481,#REF!,$G$501,#REF!,M$480)</f>
        <v>#REF!</v>
      </c>
      <c r="N503" s="88" t="e">
        <f>SUMIFS(#REF!,#REF!,$D$481,#REF!,$G$501,#REF!,N$480)</f>
        <v>#REF!</v>
      </c>
      <c r="O503" s="88" t="e">
        <f>SUMIFS(#REF!,#REF!,$D$481,#REF!,$G$501,#REF!,O$480)</f>
        <v>#REF!</v>
      </c>
      <c r="P503" s="88" t="e">
        <f>SUMIFS(#REF!,#REF!,$D$481,#REF!,$G$501,#REF!,P$480)</f>
        <v>#REF!</v>
      </c>
      <c r="Q503" s="88" t="e">
        <f>SUMIFS(#REF!,#REF!,$D$481,#REF!,$G$501,#REF!,Q$480)</f>
        <v>#REF!</v>
      </c>
      <c r="R503" s="88" t="e">
        <f>SUMIFS(#REF!,#REF!,$D$481,#REF!,$G$501,#REF!,R$480)</f>
        <v>#REF!</v>
      </c>
      <c r="S503" s="88" t="e">
        <f>SUMIFS(#REF!,#REF!,$D$481,#REF!,$G$501,#REF!,S$480)</f>
        <v>#REF!</v>
      </c>
      <c r="T503" s="88" t="e">
        <f>SUMIFS(#REF!,#REF!,$D$481,#REF!,$G$501,#REF!,T$480)</f>
        <v>#REF!</v>
      </c>
      <c r="U503" s="88" t="e">
        <f>SUMIFS(#REF!,#REF!,$D$481,#REF!,$G$501,#REF!,U$480)</f>
        <v>#REF!</v>
      </c>
      <c r="V503" s="88" t="e">
        <f>SUMIFS(#REF!,#REF!,$D$481,#REF!,$G$501,#REF!,V$480)</f>
        <v>#REF!</v>
      </c>
      <c r="W503" s="88" t="e">
        <f>SUMIFS(#REF!,#REF!,$D$481,#REF!,$G$501,#REF!,W$480)</f>
        <v>#REF!</v>
      </c>
      <c r="X503" s="88" t="e">
        <f>SUMIFS(#REF!,#REF!,$D$481,#REF!,$G$501,#REF!,X$480)</f>
        <v>#REF!</v>
      </c>
      <c r="Y503" s="88" t="e">
        <f>SUMIFS(#REF!,#REF!,$D$481,#REF!,$G$501,#REF!,Y$480)</f>
        <v>#REF!</v>
      </c>
      <c r="Z503" s="88" t="e">
        <f>SUMIFS(#REF!,#REF!,$D$481,#REF!,$G$501,#REF!,Z$480)</f>
        <v>#REF!</v>
      </c>
      <c r="AA503" s="88" t="e">
        <f>SUMIFS(#REF!,#REF!,$D$481,#REF!,$G$501,#REF!,AA$480)</f>
        <v>#REF!</v>
      </c>
      <c r="AB503" s="88" t="e">
        <f>SUMIFS(#REF!,#REF!,$D$481,#REF!,$G$501,#REF!,AB$480)</f>
        <v>#REF!</v>
      </c>
      <c r="AC503" s="88" t="e">
        <f>SUMIFS(#REF!,#REF!,$D$481,#REF!,$G$501,#REF!,AC$480)</f>
        <v>#REF!</v>
      </c>
      <c r="AD503" s="88" t="e">
        <f>SUMIFS(#REF!,#REF!,$D$481,#REF!,$G$501,#REF!,AD$480)</f>
        <v>#REF!</v>
      </c>
      <c r="AE503" s="88" t="e">
        <f>SUMIFS(#REF!,#REF!,$D$481,#REF!,$G$501,#REF!,AE$480)</f>
        <v>#REF!</v>
      </c>
      <c r="AF503" s="88" t="e">
        <f>SUMIFS(#REF!,#REF!,$D$481,#REF!,$G$501,#REF!,AF$480)</f>
        <v>#REF!</v>
      </c>
      <c r="AG503" s="88" t="e">
        <f>SUMIFS(#REF!,#REF!,$D$481,#REF!,$G$501,#REF!,AG$480)</f>
        <v>#REF!</v>
      </c>
      <c r="AH503" s="88" t="e">
        <f>SUMIFS(#REF!,#REF!,$D$481,#REF!,$G$501,#REF!,AH$480)</f>
        <v>#REF!</v>
      </c>
      <c r="AI503" s="88" t="e">
        <f>SUMIFS(#REF!,#REF!,$D$481,#REF!,$G$501,#REF!,AI$480)</f>
        <v>#REF!</v>
      </c>
      <c r="AJ503" s="88" t="e">
        <f>SUMIFS(#REF!,#REF!,$D$481,#REF!,$G$501,#REF!,AJ$480)</f>
        <v>#REF!</v>
      </c>
      <c r="AK503" s="88" t="e">
        <f>SUMIFS(#REF!,#REF!,$D$481,#REF!,$G$501,#REF!,AK$480)</f>
        <v>#REF!</v>
      </c>
      <c r="AL503" s="88" t="e">
        <f>SUMIFS(#REF!,#REF!,$D$481,#REF!,$G$501,#REF!,AL$480)</f>
        <v>#REF!</v>
      </c>
      <c r="AM503" s="88" t="e">
        <f>SUMIFS(#REF!,#REF!,$D$481,#REF!,$G$501,#REF!,AM$480)</f>
        <v>#REF!</v>
      </c>
    </row>
    <row r="504" ht="20.25" hidden="1" customHeight="1" spans="3:39">
      <c r="C504" s="251"/>
      <c r="D504" s="251"/>
      <c r="E504" s="261"/>
      <c r="F504" s="261"/>
      <c r="G504" s="262"/>
      <c r="H504" s="260" t="s">
        <v>110</v>
      </c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</row>
    <row r="505" ht="20.25" hidden="1" customHeight="1" spans="3:39">
      <c r="C505" s="251"/>
      <c r="D505" s="251"/>
      <c r="E505" s="261"/>
      <c r="F505" s="261"/>
      <c r="G505" s="262"/>
      <c r="H505" s="260" t="s">
        <v>111</v>
      </c>
      <c r="I505" s="90" t="e">
        <f t="shared" ref="I505:AM505" si="207">I503/I501</f>
        <v>#REF!</v>
      </c>
      <c r="J505" s="90" t="e">
        <f t="shared" si="207"/>
        <v>#REF!</v>
      </c>
      <c r="K505" s="90" t="e">
        <f t="shared" si="207"/>
        <v>#REF!</v>
      </c>
      <c r="L505" s="90" t="e">
        <f t="shared" si="207"/>
        <v>#REF!</v>
      </c>
      <c r="M505" s="90" t="e">
        <f t="shared" si="207"/>
        <v>#REF!</v>
      </c>
      <c r="N505" s="90" t="e">
        <f t="shared" si="207"/>
        <v>#REF!</v>
      </c>
      <c r="O505" s="90" t="e">
        <f t="shared" si="207"/>
        <v>#REF!</v>
      </c>
      <c r="P505" s="90" t="e">
        <f t="shared" si="207"/>
        <v>#REF!</v>
      </c>
      <c r="Q505" s="90" t="e">
        <f t="shared" si="207"/>
        <v>#REF!</v>
      </c>
      <c r="R505" s="90" t="e">
        <f t="shared" si="207"/>
        <v>#REF!</v>
      </c>
      <c r="S505" s="90" t="e">
        <f t="shared" si="207"/>
        <v>#REF!</v>
      </c>
      <c r="T505" s="90" t="e">
        <f t="shared" si="207"/>
        <v>#REF!</v>
      </c>
      <c r="U505" s="90" t="e">
        <f t="shared" si="207"/>
        <v>#REF!</v>
      </c>
      <c r="V505" s="90" t="e">
        <f t="shared" si="207"/>
        <v>#REF!</v>
      </c>
      <c r="W505" s="90" t="e">
        <f t="shared" si="207"/>
        <v>#REF!</v>
      </c>
      <c r="X505" s="90" t="e">
        <f t="shared" si="207"/>
        <v>#REF!</v>
      </c>
      <c r="Y505" s="90" t="e">
        <f t="shared" si="207"/>
        <v>#REF!</v>
      </c>
      <c r="Z505" s="90" t="e">
        <f t="shared" si="207"/>
        <v>#REF!</v>
      </c>
      <c r="AA505" s="90" t="e">
        <f t="shared" si="207"/>
        <v>#REF!</v>
      </c>
      <c r="AB505" s="90" t="e">
        <f t="shared" si="207"/>
        <v>#REF!</v>
      </c>
      <c r="AC505" s="90" t="e">
        <f t="shared" si="207"/>
        <v>#REF!</v>
      </c>
      <c r="AD505" s="90" t="e">
        <f t="shared" si="207"/>
        <v>#REF!</v>
      </c>
      <c r="AE505" s="90" t="e">
        <f t="shared" si="207"/>
        <v>#REF!</v>
      </c>
      <c r="AF505" s="90" t="e">
        <f t="shared" si="207"/>
        <v>#REF!</v>
      </c>
      <c r="AG505" s="90" t="e">
        <f t="shared" si="207"/>
        <v>#REF!</v>
      </c>
      <c r="AH505" s="90" t="e">
        <f t="shared" si="207"/>
        <v>#REF!</v>
      </c>
      <c r="AI505" s="90" t="e">
        <f t="shared" si="207"/>
        <v>#REF!</v>
      </c>
      <c r="AJ505" s="90" t="e">
        <f t="shared" si="207"/>
        <v>#REF!</v>
      </c>
      <c r="AK505" s="90" t="e">
        <f t="shared" si="207"/>
        <v>#REF!</v>
      </c>
      <c r="AL505" s="90" t="e">
        <f t="shared" si="207"/>
        <v>#REF!</v>
      </c>
      <c r="AM505" s="90" t="e">
        <f t="shared" si="207"/>
        <v>#REF!</v>
      </c>
    </row>
    <row r="506" ht="20.25" hidden="1" customHeight="1" spans="3:39">
      <c r="C506" s="251"/>
      <c r="D506" s="251"/>
      <c r="E506" s="261"/>
      <c r="F506" s="261"/>
      <c r="G506" s="263" t="s">
        <v>94</v>
      </c>
      <c r="H506" s="260" t="s">
        <v>107</v>
      </c>
      <c r="I506" s="88">
        <v>130519</v>
      </c>
      <c r="J506" s="88">
        <v>5211</v>
      </c>
      <c r="K506" s="88">
        <v>5004</v>
      </c>
      <c r="L506" s="88">
        <v>5004</v>
      </c>
      <c r="M506" s="88">
        <v>3912</v>
      </c>
      <c r="N506" s="88">
        <v>3612</v>
      </c>
      <c r="O506" s="88">
        <v>3266</v>
      </c>
      <c r="P506" s="88">
        <v>3527</v>
      </c>
      <c r="Q506" s="88">
        <v>3512</v>
      </c>
      <c r="R506" s="88">
        <v>3627</v>
      </c>
      <c r="S506" s="88">
        <v>3727</v>
      </c>
      <c r="T506" s="88">
        <v>3727</v>
      </c>
      <c r="U506" s="88">
        <v>3612</v>
      </c>
      <c r="V506" s="88">
        <v>3712</v>
      </c>
      <c r="W506" s="88">
        <v>4758</v>
      </c>
      <c r="X506" s="88">
        <v>4842</v>
      </c>
      <c r="Y506" s="88">
        <v>5989</v>
      </c>
      <c r="Z506" s="88">
        <v>7496</v>
      </c>
      <c r="AA506" s="88">
        <v>15900</v>
      </c>
      <c r="AB506" s="88">
        <v>6066</v>
      </c>
      <c r="AC506" s="88">
        <v>4989</v>
      </c>
      <c r="AD506" s="88">
        <v>2835</v>
      </c>
      <c r="AE506" s="88">
        <v>2835</v>
      </c>
      <c r="AF506" s="88">
        <v>2850</v>
      </c>
      <c r="AG506" s="88">
        <v>2966</v>
      </c>
      <c r="AH506" s="88">
        <v>2850</v>
      </c>
      <c r="AI506" s="88">
        <v>3081</v>
      </c>
      <c r="AJ506" s="88">
        <v>2635</v>
      </c>
      <c r="AK506" s="88">
        <v>3012</v>
      </c>
      <c r="AL506" s="88">
        <v>2981</v>
      </c>
      <c r="AM506" s="88">
        <v>2981</v>
      </c>
    </row>
    <row r="507" ht="20.25" hidden="1" customHeight="1" spans="3:39">
      <c r="C507" s="251"/>
      <c r="D507" s="251"/>
      <c r="E507" s="261"/>
      <c r="F507" s="261"/>
      <c r="G507" s="262"/>
      <c r="H507" s="260" t="s">
        <v>108</v>
      </c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</row>
    <row r="508" ht="20.25" hidden="1" customHeight="1" spans="3:39">
      <c r="C508" s="251"/>
      <c r="D508" s="251"/>
      <c r="E508" s="261"/>
      <c r="F508" s="261"/>
      <c r="G508" s="262"/>
      <c r="H508" s="260" t="s">
        <v>109</v>
      </c>
      <c r="I508" s="88" t="e">
        <f>SUM(J508:AM508)</f>
        <v>#REF!</v>
      </c>
      <c r="J508" s="88" t="e">
        <f t="shared" ref="J508:AM508" si="208">J503+J498+J493+J488+J483</f>
        <v>#REF!</v>
      </c>
      <c r="K508" s="88" t="e">
        <f t="shared" si="208"/>
        <v>#REF!</v>
      </c>
      <c r="L508" s="88" t="e">
        <f t="shared" si="208"/>
        <v>#REF!</v>
      </c>
      <c r="M508" s="88" t="e">
        <f t="shared" si="208"/>
        <v>#REF!</v>
      </c>
      <c r="N508" s="88" t="e">
        <f t="shared" si="208"/>
        <v>#REF!</v>
      </c>
      <c r="O508" s="88" t="e">
        <f t="shared" si="208"/>
        <v>#REF!</v>
      </c>
      <c r="P508" s="88" t="e">
        <f t="shared" si="208"/>
        <v>#REF!</v>
      </c>
      <c r="Q508" s="88" t="e">
        <f t="shared" si="208"/>
        <v>#REF!</v>
      </c>
      <c r="R508" s="88" t="e">
        <f t="shared" si="208"/>
        <v>#REF!</v>
      </c>
      <c r="S508" s="88" t="e">
        <f t="shared" si="208"/>
        <v>#REF!</v>
      </c>
      <c r="T508" s="88" t="e">
        <f t="shared" si="208"/>
        <v>#REF!</v>
      </c>
      <c r="U508" s="88" t="e">
        <f t="shared" si="208"/>
        <v>#REF!</v>
      </c>
      <c r="V508" s="88" t="e">
        <f t="shared" si="208"/>
        <v>#REF!</v>
      </c>
      <c r="W508" s="88" t="e">
        <f t="shared" si="208"/>
        <v>#REF!</v>
      </c>
      <c r="X508" s="88" t="e">
        <f t="shared" si="208"/>
        <v>#REF!</v>
      </c>
      <c r="Y508" s="88" t="e">
        <f t="shared" si="208"/>
        <v>#REF!</v>
      </c>
      <c r="Z508" s="88" t="e">
        <f t="shared" si="208"/>
        <v>#REF!</v>
      </c>
      <c r="AA508" s="88" t="e">
        <f t="shared" si="208"/>
        <v>#REF!</v>
      </c>
      <c r="AB508" s="88" t="e">
        <f t="shared" si="208"/>
        <v>#REF!</v>
      </c>
      <c r="AC508" s="88" t="e">
        <f t="shared" si="208"/>
        <v>#REF!</v>
      </c>
      <c r="AD508" s="88" t="e">
        <f t="shared" si="208"/>
        <v>#REF!</v>
      </c>
      <c r="AE508" s="88" t="e">
        <f t="shared" si="208"/>
        <v>#REF!</v>
      </c>
      <c r="AF508" s="88" t="e">
        <f t="shared" si="208"/>
        <v>#REF!</v>
      </c>
      <c r="AG508" s="88" t="e">
        <f t="shared" si="208"/>
        <v>#REF!</v>
      </c>
      <c r="AH508" s="88" t="e">
        <f t="shared" si="208"/>
        <v>#REF!</v>
      </c>
      <c r="AI508" s="88" t="e">
        <f t="shared" si="208"/>
        <v>#REF!</v>
      </c>
      <c r="AJ508" s="88" t="e">
        <f t="shared" si="208"/>
        <v>#REF!</v>
      </c>
      <c r="AK508" s="88" t="e">
        <f t="shared" si="208"/>
        <v>#REF!</v>
      </c>
      <c r="AL508" s="88" t="e">
        <f t="shared" si="208"/>
        <v>#REF!</v>
      </c>
      <c r="AM508" s="88" t="e">
        <f t="shared" si="208"/>
        <v>#REF!</v>
      </c>
    </row>
    <row r="509" ht="20.25" hidden="1" customHeight="1" spans="3:39">
      <c r="C509" s="251"/>
      <c r="D509" s="251"/>
      <c r="E509" s="261"/>
      <c r="F509" s="261"/>
      <c r="G509" s="262"/>
      <c r="H509" s="260" t="s">
        <v>110</v>
      </c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</row>
    <row r="510" ht="20.25" hidden="1" customHeight="1" spans="3:39">
      <c r="C510" s="251"/>
      <c r="D510" s="251"/>
      <c r="E510" s="261"/>
      <c r="F510" s="261"/>
      <c r="G510" s="262"/>
      <c r="H510" s="260" t="s">
        <v>111</v>
      </c>
      <c r="I510" s="90" t="e">
        <f t="shared" ref="I510:AM510" si="209">I508/I506</f>
        <v>#REF!</v>
      </c>
      <c r="J510" s="90" t="e">
        <f t="shared" si="209"/>
        <v>#REF!</v>
      </c>
      <c r="K510" s="90" t="e">
        <f t="shared" si="209"/>
        <v>#REF!</v>
      </c>
      <c r="L510" s="90" t="e">
        <f t="shared" si="209"/>
        <v>#REF!</v>
      </c>
      <c r="M510" s="90" t="e">
        <f t="shared" si="209"/>
        <v>#REF!</v>
      </c>
      <c r="N510" s="90" t="e">
        <f t="shared" si="209"/>
        <v>#REF!</v>
      </c>
      <c r="O510" s="90" t="e">
        <f t="shared" si="209"/>
        <v>#REF!</v>
      </c>
      <c r="P510" s="90" t="e">
        <f t="shared" si="209"/>
        <v>#REF!</v>
      </c>
      <c r="Q510" s="90" t="e">
        <f t="shared" si="209"/>
        <v>#REF!</v>
      </c>
      <c r="R510" s="90" t="e">
        <f t="shared" si="209"/>
        <v>#REF!</v>
      </c>
      <c r="S510" s="90" t="e">
        <f t="shared" si="209"/>
        <v>#REF!</v>
      </c>
      <c r="T510" s="90" t="e">
        <f t="shared" si="209"/>
        <v>#REF!</v>
      </c>
      <c r="U510" s="90" t="e">
        <f t="shared" si="209"/>
        <v>#REF!</v>
      </c>
      <c r="V510" s="90" t="e">
        <f t="shared" si="209"/>
        <v>#REF!</v>
      </c>
      <c r="W510" s="90" t="e">
        <f t="shared" si="209"/>
        <v>#REF!</v>
      </c>
      <c r="X510" s="90" t="e">
        <f t="shared" si="209"/>
        <v>#REF!</v>
      </c>
      <c r="Y510" s="90" t="e">
        <f t="shared" si="209"/>
        <v>#REF!</v>
      </c>
      <c r="Z510" s="90" t="e">
        <f t="shared" si="209"/>
        <v>#REF!</v>
      </c>
      <c r="AA510" s="90" t="e">
        <f t="shared" si="209"/>
        <v>#REF!</v>
      </c>
      <c r="AB510" s="90" t="e">
        <f t="shared" si="209"/>
        <v>#REF!</v>
      </c>
      <c r="AC510" s="90" t="e">
        <f t="shared" si="209"/>
        <v>#REF!</v>
      </c>
      <c r="AD510" s="90" t="e">
        <f t="shared" si="209"/>
        <v>#REF!</v>
      </c>
      <c r="AE510" s="90" t="e">
        <f t="shared" si="209"/>
        <v>#REF!</v>
      </c>
      <c r="AF510" s="90" t="e">
        <f t="shared" si="209"/>
        <v>#REF!</v>
      </c>
      <c r="AG510" s="90" t="e">
        <f t="shared" si="209"/>
        <v>#REF!</v>
      </c>
      <c r="AH510" s="90" t="e">
        <f t="shared" si="209"/>
        <v>#REF!</v>
      </c>
      <c r="AI510" s="90" t="e">
        <f t="shared" si="209"/>
        <v>#REF!</v>
      </c>
      <c r="AJ510" s="90" t="e">
        <f t="shared" si="209"/>
        <v>#REF!</v>
      </c>
      <c r="AK510" s="90" t="e">
        <f t="shared" si="209"/>
        <v>#REF!</v>
      </c>
      <c r="AL510" s="90" t="e">
        <f t="shared" si="209"/>
        <v>#REF!</v>
      </c>
      <c r="AM510" s="90" t="e">
        <f t="shared" si="209"/>
        <v>#REF!</v>
      </c>
    </row>
    <row r="511" ht="20.25" hidden="1" customHeight="1" spans="3:39">
      <c r="C511" s="251"/>
      <c r="D511" s="257" t="s">
        <v>89</v>
      </c>
      <c r="E511" s="258">
        <f>I536/$I$686</f>
        <v>0.317929818430208</v>
      </c>
      <c r="F511" s="258" t="e">
        <f>I538/$I$688</f>
        <v>#REF!</v>
      </c>
      <c r="G511" s="259" t="s">
        <v>115</v>
      </c>
      <c r="H511" s="260" t="s">
        <v>107</v>
      </c>
      <c r="I511" s="88">
        <v>70049</v>
      </c>
      <c r="J511" s="88">
        <v>2803</v>
      </c>
      <c r="K511" s="88">
        <v>2692</v>
      </c>
      <c r="L511" s="88">
        <v>2692</v>
      </c>
      <c r="M511" s="88">
        <v>2104</v>
      </c>
      <c r="N511" s="88">
        <v>1943</v>
      </c>
      <c r="O511" s="88">
        <v>1757</v>
      </c>
      <c r="P511" s="88">
        <v>1897</v>
      </c>
      <c r="Q511" s="88">
        <v>1889</v>
      </c>
      <c r="R511" s="88">
        <v>1951</v>
      </c>
      <c r="S511" s="88">
        <v>2005</v>
      </c>
      <c r="T511" s="88">
        <v>2005</v>
      </c>
      <c r="U511" s="88">
        <v>1943</v>
      </c>
      <c r="V511" s="88">
        <v>1997</v>
      </c>
      <c r="W511" s="88">
        <v>2559</v>
      </c>
      <c r="X511" s="88">
        <v>2605</v>
      </c>
      <c r="Y511" s="88">
        <v>3222</v>
      </c>
      <c r="Z511" s="88">
        <v>4032</v>
      </c>
      <c r="AA511" s="88">
        <v>8394</v>
      </c>
      <c r="AB511" s="88">
        <v>3263</v>
      </c>
      <c r="AC511" s="88">
        <v>2684</v>
      </c>
      <c r="AD511" s="88">
        <v>1525</v>
      </c>
      <c r="AE511" s="88">
        <v>1525</v>
      </c>
      <c r="AF511" s="88">
        <v>1533</v>
      </c>
      <c r="AG511" s="88">
        <v>1595</v>
      </c>
      <c r="AH511" s="88">
        <v>1533</v>
      </c>
      <c r="AI511" s="88">
        <v>1657</v>
      </c>
      <c r="AJ511" s="88">
        <v>1417</v>
      </c>
      <c r="AK511" s="88">
        <v>1620</v>
      </c>
      <c r="AL511" s="88">
        <v>1604</v>
      </c>
      <c r="AM511" s="88">
        <v>1604</v>
      </c>
    </row>
    <row r="512" ht="20.25" hidden="1" customHeight="1" spans="3:39">
      <c r="C512" s="251"/>
      <c r="D512" s="251"/>
      <c r="E512" s="261"/>
      <c r="F512" s="261"/>
      <c r="G512" s="262"/>
      <c r="H512" s="260" t="s">
        <v>108</v>
      </c>
      <c r="I512" s="90">
        <v>0.5</v>
      </c>
      <c r="J512" s="90">
        <v>0.5</v>
      </c>
      <c r="K512" s="90">
        <v>0.5</v>
      </c>
      <c r="L512" s="90">
        <v>0.5</v>
      </c>
      <c r="M512" s="90">
        <v>0.5</v>
      </c>
      <c r="N512" s="90">
        <v>0.5</v>
      </c>
      <c r="O512" s="90">
        <v>0.5</v>
      </c>
      <c r="P512" s="90">
        <v>0.5</v>
      </c>
      <c r="Q512" s="90">
        <v>0.5</v>
      </c>
      <c r="R512" s="90">
        <v>0.5</v>
      </c>
      <c r="S512" s="90">
        <v>0.5</v>
      </c>
      <c r="T512" s="90">
        <v>0.5</v>
      </c>
      <c r="U512" s="90">
        <v>0.5</v>
      </c>
      <c r="V512" s="90">
        <v>0.5</v>
      </c>
      <c r="W512" s="90">
        <v>0.5</v>
      </c>
      <c r="X512" s="90">
        <v>0.5</v>
      </c>
      <c r="Y512" s="90">
        <v>0.5</v>
      </c>
      <c r="Z512" s="90">
        <v>0.5</v>
      </c>
      <c r="AA512" s="90">
        <v>0.5</v>
      </c>
      <c r="AB512" s="90">
        <v>0.5</v>
      </c>
      <c r="AC512" s="90">
        <v>0.5</v>
      </c>
      <c r="AD512" s="90">
        <v>0.5</v>
      </c>
      <c r="AE512" s="90">
        <v>0.5</v>
      </c>
      <c r="AF512" s="90">
        <v>0.5</v>
      </c>
      <c r="AG512" s="90">
        <v>0.5</v>
      </c>
      <c r="AH512" s="90">
        <v>0.5</v>
      </c>
      <c r="AI512" s="90">
        <v>0.5</v>
      </c>
      <c r="AJ512" s="90">
        <v>0.5</v>
      </c>
      <c r="AK512" s="90">
        <v>0.5</v>
      </c>
      <c r="AL512" s="90">
        <v>0.5</v>
      </c>
      <c r="AM512" s="90">
        <v>0.5</v>
      </c>
    </row>
    <row r="513" ht="20.25" hidden="1" customHeight="1" spans="3:39">
      <c r="C513" s="251"/>
      <c r="D513" s="251"/>
      <c r="E513" s="261"/>
      <c r="F513" s="261"/>
      <c r="G513" s="262"/>
      <c r="H513" s="260" t="s">
        <v>109</v>
      </c>
      <c r="I513" s="88" t="e">
        <f>SUM(J513:AM513)</f>
        <v>#REF!</v>
      </c>
      <c r="J513" s="88" t="e">
        <f>SUMIFS(#REF!,#REF!,$D$511,#REF!,$G511,#REF!,J$480)</f>
        <v>#REF!</v>
      </c>
      <c r="K513" s="88" t="e">
        <f>SUMIFS(#REF!,#REF!,$D$511,#REF!,$G511,#REF!,K$480)</f>
        <v>#REF!</v>
      </c>
      <c r="L513" s="88" t="e">
        <f>SUMIFS(#REF!,#REF!,$D$511,#REF!,$G511,#REF!,L$480)</f>
        <v>#REF!</v>
      </c>
      <c r="M513" s="88" t="e">
        <f>SUMIFS(#REF!,#REF!,$D$511,#REF!,$G511,#REF!,M$480)</f>
        <v>#REF!</v>
      </c>
      <c r="N513" s="88" t="e">
        <f>SUMIFS(#REF!,#REF!,$D$511,#REF!,$G511,#REF!,N$480)</f>
        <v>#REF!</v>
      </c>
      <c r="O513" s="88" t="e">
        <f>SUMIFS(#REF!,#REF!,$D$511,#REF!,$G511,#REF!,O$480)</f>
        <v>#REF!</v>
      </c>
      <c r="P513" s="88" t="e">
        <f>SUMIFS(#REF!,#REF!,$D$511,#REF!,$G511,#REF!,P$480)</f>
        <v>#REF!</v>
      </c>
      <c r="Q513" s="88" t="e">
        <f>SUMIFS(#REF!,#REF!,$D$511,#REF!,$G511,#REF!,Q$480)</f>
        <v>#REF!</v>
      </c>
      <c r="R513" s="88" t="e">
        <f>SUMIFS(#REF!,#REF!,$D$511,#REF!,$G511,#REF!,R$480)</f>
        <v>#REF!</v>
      </c>
      <c r="S513" s="88" t="e">
        <f>SUMIFS(#REF!,#REF!,$D$511,#REF!,$G511,#REF!,S$480)</f>
        <v>#REF!</v>
      </c>
      <c r="T513" s="88" t="e">
        <f>SUMIFS(#REF!,#REF!,$D$511,#REF!,$G511,#REF!,T$480)</f>
        <v>#REF!</v>
      </c>
      <c r="U513" s="88" t="e">
        <f>SUMIFS(#REF!,#REF!,$D$511,#REF!,$G511,#REF!,U$480)</f>
        <v>#REF!</v>
      </c>
      <c r="V513" s="88" t="e">
        <f>SUMIFS(#REF!,#REF!,$D$511,#REF!,$G511,#REF!,V$480)</f>
        <v>#REF!</v>
      </c>
      <c r="W513" s="88" t="e">
        <f>SUMIFS(#REF!,#REF!,$D$511,#REF!,$G511,#REF!,W$480)</f>
        <v>#REF!</v>
      </c>
      <c r="X513" s="88" t="e">
        <f>SUMIFS(#REF!,#REF!,$D$511,#REF!,$G511,#REF!,X$480)</f>
        <v>#REF!</v>
      </c>
      <c r="Y513" s="88" t="e">
        <f>SUMIFS(#REF!,#REF!,$D$511,#REF!,$G511,#REF!,Y$480)</f>
        <v>#REF!</v>
      </c>
      <c r="Z513" s="88" t="e">
        <f>SUMIFS(#REF!,#REF!,$D$511,#REF!,$G511,#REF!,Z$480)</f>
        <v>#REF!</v>
      </c>
      <c r="AA513" s="88" t="e">
        <f>SUMIFS(#REF!,#REF!,$D$511,#REF!,$G511,#REF!,AA$480)</f>
        <v>#REF!</v>
      </c>
      <c r="AB513" s="88" t="e">
        <f>SUMIFS(#REF!,#REF!,$D$511,#REF!,$G511,#REF!,AB$480)</f>
        <v>#REF!</v>
      </c>
      <c r="AC513" s="88" t="e">
        <f>SUMIFS(#REF!,#REF!,$D$511,#REF!,$G511,#REF!,AC$480)</f>
        <v>#REF!</v>
      </c>
      <c r="AD513" s="88" t="e">
        <f>SUMIFS(#REF!,#REF!,$D$511,#REF!,$G511,#REF!,AD$480)</f>
        <v>#REF!</v>
      </c>
      <c r="AE513" s="88" t="e">
        <f>SUMIFS(#REF!,#REF!,$D$511,#REF!,$G511,#REF!,AE$480)</f>
        <v>#REF!</v>
      </c>
      <c r="AF513" s="88" t="e">
        <f>SUMIFS(#REF!,#REF!,$D$511,#REF!,$G511,#REF!,AF$480)</f>
        <v>#REF!</v>
      </c>
      <c r="AG513" s="88" t="e">
        <f>SUMIFS(#REF!,#REF!,$D$511,#REF!,$G511,#REF!,AG$480)</f>
        <v>#REF!</v>
      </c>
      <c r="AH513" s="88" t="e">
        <f>SUMIFS(#REF!,#REF!,$D$511,#REF!,$G511,#REF!,AH$480)</f>
        <v>#REF!</v>
      </c>
      <c r="AI513" s="88" t="e">
        <f>SUMIFS(#REF!,#REF!,$D$511,#REF!,$G511,#REF!,AI$480)</f>
        <v>#REF!</v>
      </c>
      <c r="AJ513" s="88" t="e">
        <f>SUMIFS(#REF!,#REF!,$D$511,#REF!,$G511,#REF!,AJ$480)</f>
        <v>#REF!</v>
      </c>
      <c r="AK513" s="88" t="e">
        <f>SUMIFS(#REF!,#REF!,$D$511,#REF!,$G511,#REF!,AK$480)</f>
        <v>#REF!</v>
      </c>
      <c r="AL513" s="88" t="e">
        <f>SUMIFS(#REF!,#REF!,$D$511,#REF!,$G511,#REF!,AL$480)</f>
        <v>#REF!</v>
      </c>
      <c r="AM513" s="88" t="e">
        <f>SUMIFS(#REF!,#REF!,$D$511,#REF!,$G511,#REF!,AM$480)</f>
        <v>#REF!</v>
      </c>
    </row>
    <row r="514" ht="20.25" hidden="1" customHeight="1" spans="3:39">
      <c r="C514" s="251"/>
      <c r="D514" s="251"/>
      <c r="E514" s="261"/>
      <c r="F514" s="261"/>
      <c r="G514" s="262"/>
      <c r="H514" s="260" t="s">
        <v>110</v>
      </c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88"/>
      <c r="AL514" s="88"/>
      <c r="AM514" s="88"/>
    </row>
    <row r="515" ht="20.25" hidden="1" customHeight="1" spans="3:39">
      <c r="C515" s="251"/>
      <c r="D515" s="251"/>
      <c r="E515" s="261"/>
      <c r="F515" s="261"/>
      <c r="G515" s="262"/>
      <c r="H515" s="260" t="s">
        <v>111</v>
      </c>
      <c r="I515" s="90" t="e">
        <f t="shared" ref="I515:AM515" si="210">I513/I511</f>
        <v>#REF!</v>
      </c>
      <c r="J515" s="90" t="e">
        <f t="shared" si="210"/>
        <v>#REF!</v>
      </c>
      <c r="K515" s="90" t="e">
        <f t="shared" si="210"/>
        <v>#REF!</v>
      </c>
      <c r="L515" s="90" t="e">
        <f t="shared" si="210"/>
        <v>#REF!</v>
      </c>
      <c r="M515" s="90" t="e">
        <f t="shared" si="210"/>
        <v>#REF!</v>
      </c>
      <c r="N515" s="90" t="e">
        <f t="shared" si="210"/>
        <v>#REF!</v>
      </c>
      <c r="O515" s="90" t="e">
        <f t="shared" si="210"/>
        <v>#REF!</v>
      </c>
      <c r="P515" s="90" t="e">
        <f t="shared" si="210"/>
        <v>#REF!</v>
      </c>
      <c r="Q515" s="90" t="e">
        <f t="shared" si="210"/>
        <v>#REF!</v>
      </c>
      <c r="R515" s="90" t="e">
        <f t="shared" si="210"/>
        <v>#REF!</v>
      </c>
      <c r="S515" s="90" t="e">
        <f t="shared" si="210"/>
        <v>#REF!</v>
      </c>
      <c r="T515" s="90" t="e">
        <f t="shared" si="210"/>
        <v>#REF!</v>
      </c>
      <c r="U515" s="90" t="e">
        <f t="shared" si="210"/>
        <v>#REF!</v>
      </c>
      <c r="V515" s="90" t="e">
        <f t="shared" si="210"/>
        <v>#REF!</v>
      </c>
      <c r="W515" s="90" t="e">
        <f t="shared" si="210"/>
        <v>#REF!</v>
      </c>
      <c r="X515" s="90" t="e">
        <f t="shared" si="210"/>
        <v>#REF!</v>
      </c>
      <c r="Y515" s="90" t="e">
        <f t="shared" si="210"/>
        <v>#REF!</v>
      </c>
      <c r="Z515" s="90" t="e">
        <f t="shared" si="210"/>
        <v>#REF!</v>
      </c>
      <c r="AA515" s="90" t="e">
        <f t="shared" si="210"/>
        <v>#REF!</v>
      </c>
      <c r="AB515" s="90" t="e">
        <f t="shared" si="210"/>
        <v>#REF!</v>
      </c>
      <c r="AC515" s="90" t="e">
        <f t="shared" si="210"/>
        <v>#REF!</v>
      </c>
      <c r="AD515" s="90" t="e">
        <f t="shared" si="210"/>
        <v>#REF!</v>
      </c>
      <c r="AE515" s="90" t="e">
        <f t="shared" si="210"/>
        <v>#REF!</v>
      </c>
      <c r="AF515" s="90" t="e">
        <f t="shared" si="210"/>
        <v>#REF!</v>
      </c>
      <c r="AG515" s="90" t="e">
        <f t="shared" si="210"/>
        <v>#REF!</v>
      </c>
      <c r="AH515" s="90" t="e">
        <f t="shared" si="210"/>
        <v>#REF!</v>
      </c>
      <c r="AI515" s="90" t="e">
        <f t="shared" si="210"/>
        <v>#REF!</v>
      </c>
      <c r="AJ515" s="90" t="e">
        <f t="shared" si="210"/>
        <v>#REF!</v>
      </c>
      <c r="AK515" s="90" t="e">
        <f t="shared" si="210"/>
        <v>#REF!</v>
      </c>
      <c r="AL515" s="90" t="e">
        <f t="shared" si="210"/>
        <v>#REF!</v>
      </c>
      <c r="AM515" s="90" t="e">
        <f t="shared" si="210"/>
        <v>#REF!</v>
      </c>
    </row>
    <row r="516" ht="20.25" hidden="1" customHeight="1" spans="3:39">
      <c r="C516" s="251"/>
      <c r="D516" s="251"/>
      <c r="E516" s="261"/>
      <c r="F516" s="261"/>
      <c r="G516" s="259" t="s">
        <v>116</v>
      </c>
      <c r="H516" s="260" t="s">
        <v>107</v>
      </c>
      <c r="I516" s="88">
        <v>42029</v>
      </c>
      <c r="J516" s="88">
        <v>1682</v>
      </c>
      <c r="K516" s="88">
        <v>1615</v>
      </c>
      <c r="L516" s="88">
        <v>1615</v>
      </c>
      <c r="M516" s="88">
        <v>1263</v>
      </c>
      <c r="N516" s="88">
        <v>1166</v>
      </c>
      <c r="O516" s="88">
        <v>1054</v>
      </c>
      <c r="P516" s="88">
        <v>1138</v>
      </c>
      <c r="Q516" s="88">
        <v>1133</v>
      </c>
      <c r="R516" s="88">
        <v>1171</v>
      </c>
      <c r="S516" s="88">
        <v>1203</v>
      </c>
      <c r="T516" s="88">
        <v>1203</v>
      </c>
      <c r="U516" s="88">
        <v>1166</v>
      </c>
      <c r="V516" s="88">
        <v>1198</v>
      </c>
      <c r="W516" s="88">
        <v>1536</v>
      </c>
      <c r="X516" s="88">
        <v>1563</v>
      </c>
      <c r="Y516" s="88">
        <v>1933</v>
      </c>
      <c r="Z516" s="88">
        <v>2419</v>
      </c>
      <c r="AA516" s="88">
        <v>5036</v>
      </c>
      <c r="AB516" s="88">
        <v>1958</v>
      </c>
      <c r="AC516" s="88">
        <v>1610</v>
      </c>
      <c r="AD516" s="88">
        <v>915</v>
      </c>
      <c r="AE516" s="88">
        <v>915</v>
      </c>
      <c r="AF516" s="88">
        <v>920</v>
      </c>
      <c r="AG516" s="88">
        <v>957</v>
      </c>
      <c r="AH516" s="88">
        <v>920</v>
      </c>
      <c r="AI516" s="88">
        <v>994</v>
      </c>
      <c r="AJ516" s="88">
        <v>850</v>
      </c>
      <c r="AK516" s="88">
        <v>972</v>
      </c>
      <c r="AL516" s="88">
        <v>962</v>
      </c>
      <c r="AM516" s="88">
        <v>962</v>
      </c>
    </row>
    <row r="517" ht="20.25" hidden="1" customHeight="1" spans="3:39">
      <c r="C517" s="251"/>
      <c r="D517" s="251"/>
      <c r="E517" s="261"/>
      <c r="F517" s="261"/>
      <c r="G517" s="262"/>
      <c r="H517" s="260" t="s">
        <v>108</v>
      </c>
      <c r="I517" s="90">
        <v>0.3</v>
      </c>
      <c r="J517" s="90">
        <v>0.3</v>
      </c>
      <c r="K517" s="90">
        <v>0.3</v>
      </c>
      <c r="L517" s="90">
        <v>0.3</v>
      </c>
      <c r="M517" s="90">
        <v>0.3</v>
      </c>
      <c r="N517" s="90">
        <v>0.3</v>
      </c>
      <c r="O517" s="90">
        <v>0.3</v>
      </c>
      <c r="P517" s="90">
        <v>0.3</v>
      </c>
      <c r="Q517" s="90">
        <v>0.3</v>
      </c>
      <c r="R517" s="90">
        <v>0.3</v>
      </c>
      <c r="S517" s="90">
        <v>0.3</v>
      </c>
      <c r="T517" s="90">
        <v>0.3</v>
      </c>
      <c r="U517" s="90">
        <v>0.3</v>
      </c>
      <c r="V517" s="90">
        <v>0.3</v>
      </c>
      <c r="W517" s="90">
        <v>0.3</v>
      </c>
      <c r="X517" s="90">
        <v>0.3</v>
      </c>
      <c r="Y517" s="90">
        <v>0.3</v>
      </c>
      <c r="Z517" s="90">
        <v>0.3</v>
      </c>
      <c r="AA517" s="90">
        <v>0.3</v>
      </c>
      <c r="AB517" s="90">
        <v>0.3</v>
      </c>
      <c r="AC517" s="90">
        <v>0.3</v>
      </c>
      <c r="AD517" s="90">
        <v>0.3</v>
      </c>
      <c r="AE517" s="90">
        <v>0.3</v>
      </c>
      <c r="AF517" s="90">
        <v>0.3</v>
      </c>
      <c r="AG517" s="90">
        <v>0.3</v>
      </c>
      <c r="AH517" s="90">
        <v>0.3</v>
      </c>
      <c r="AI517" s="90">
        <v>0.3</v>
      </c>
      <c r="AJ517" s="90">
        <v>0.3</v>
      </c>
      <c r="AK517" s="90">
        <v>0.3</v>
      </c>
      <c r="AL517" s="90">
        <v>0.3</v>
      </c>
      <c r="AM517" s="90">
        <v>0.3</v>
      </c>
    </row>
    <row r="518" ht="20.25" hidden="1" customHeight="1" spans="3:39">
      <c r="C518" s="251"/>
      <c r="D518" s="251"/>
      <c r="E518" s="261"/>
      <c r="F518" s="261"/>
      <c r="G518" s="262"/>
      <c r="H518" s="260" t="s">
        <v>109</v>
      </c>
      <c r="I518" s="88" t="e">
        <f>SUM(J518:AM518)</f>
        <v>#REF!</v>
      </c>
      <c r="J518" s="88" t="e">
        <f>SUMIFS(#REF!,#REF!,$D$511,#REF!,$G516,#REF!,J$480)</f>
        <v>#REF!</v>
      </c>
      <c r="K518" s="88" t="e">
        <f>SUMIFS(#REF!,#REF!,$D$511,#REF!,$G516,#REF!,K$480)</f>
        <v>#REF!</v>
      </c>
      <c r="L518" s="88" t="e">
        <f>SUMIFS(#REF!,#REF!,$D$511,#REF!,$G516,#REF!,L$480)</f>
        <v>#REF!</v>
      </c>
      <c r="M518" s="88" t="e">
        <f>SUMIFS(#REF!,#REF!,$D$511,#REF!,$G516,#REF!,M$480)</f>
        <v>#REF!</v>
      </c>
      <c r="N518" s="88" t="e">
        <f>SUMIFS(#REF!,#REF!,$D$511,#REF!,$G516,#REF!,N$480)</f>
        <v>#REF!</v>
      </c>
      <c r="O518" s="88" t="e">
        <f>SUMIFS(#REF!,#REF!,$D$511,#REF!,$G516,#REF!,O$480)</f>
        <v>#REF!</v>
      </c>
      <c r="P518" s="88" t="e">
        <f>SUMIFS(#REF!,#REF!,$D$511,#REF!,$G516,#REF!,P$480)</f>
        <v>#REF!</v>
      </c>
      <c r="Q518" s="88" t="e">
        <f>SUMIFS(#REF!,#REF!,$D$511,#REF!,$G516,#REF!,Q$480)</f>
        <v>#REF!</v>
      </c>
      <c r="R518" s="88" t="e">
        <f>SUMIFS(#REF!,#REF!,$D$511,#REF!,$G516,#REF!,R$480)</f>
        <v>#REF!</v>
      </c>
      <c r="S518" s="88" t="e">
        <f>SUMIFS(#REF!,#REF!,$D$511,#REF!,$G516,#REF!,S$480)</f>
        <v>#REF!</v>
      </c>
      <c r="T518" s="88" t="e">
        <f>SUMIFS(#REF!,#REF!,$D$511,#REF!,$G516,#REF!,T$480)</f>
        <v>#REF!</v>
      </c>
      <c r="U518" s="88" t="e">
        <f>SUMIFS(#REF!,#REF!,$D$511,#REF!,$G516,#REF!,U$480)</f>
        <v>#REF!</v>
      </c>
      <c r="V518" s="88" t="e">
        <f>SUMIFS(#REF!,#REF!,$D$511,#REF!,$G516,#REF!,V$480)</f>
        <v>#REF!</v>
      </c>
      <c r="W518" s="88" t="e">
        <f>SUMIFS(#REF!,#REF!,$D$511,#REF!,$G516,#REF!,W$480)</f>
        <v>#REF!</v>
      </c>
      <c r="X518" s="88" t="e">
        <f>SUMIFS(#REF!,#REF!,$D$511,#REF!,$G516,#REF!,X$480)</f>
        <v>#REF!</v>
      </c>
      <c r="Y518" s="88" t="e">
        <f>SUMIFS(#REF!,#REF!,$D$511,#REF!,$G516,#REF!,Y$480)</f>
        <v>#REF!</v>
      </c>
      <c r="Z518" s="88" t="e">
        <f>SUMIFS(#REF!,#REF!,$D$511,#REF!,$G516,#REF!,Z$480)</f>
        <v>#REF!</v>
      </c>
      <c r="AA518" s="88" t="e">
        <f>SUMIFS(#REF!,#REF!,$D$511,#REF!,$G516,#REF!,AA$480)</f>
        <v>#REF!</v>
      </c>
      <c r="AB518" s="88" t="e">
        <f>SUMIFS(#REF!,#REF!,$D$511,#REF!,$G516,#REF!,AB$480)</f>
        <v>#REF!</v>
      </c>
      <c r="AC518" s="88" t="e">
        <f>SUMIFS(#REF!,#REF!,$D$511,#REF!,$G516,#REF!,AC$480)</f>
        <v>#REF!</v>
      </c>
      <c r="AD518" s="88" t="e">
        <f>SUMIFS(#REF!,#REF!,$D$511,#REF!,$G516,#REF!,AD$480)</f>
        <v>#REF!</v>
      </c>
      <c r="AE518" s="88" t="e">
        <f>SUMIFS(#REF!,#REF!,$D$511,#REF!,$G516,#REF!,AE$480)</f>
        <v>#REF!</v>
      </c>
      <c r="AF518" s="88" t="e">
        <f>SUMIFS(#REF!,#REF!,$D$511,#REF!,$G516,#REF!,AF$480)</f>
        <v>#REF!</v>
      </c>
      <c r="AG518" s="88" t="e">
        <f>SUMIFS(#REF!,#REF!,$D$511,#REF!,$G516,#REF!,AG$480)</f>
        <v>#REF!</v>
      </c>
      <c r="AH518" s="88" t="e">
        <f>SUMIFS(#REF!,#REF!,$D$511,#REF!,$G516,#REF!,AH$480)</f>
        <v>#REF!</v>
      </c>
      <c r="AI518" s="88" t="e">
        <f>SUMIFS(#REF!,#REF!,$D$511,#REF!,$G516,#REF!,AI$480)</f>
        <v>#REF!</v>
      </c>
      <c r="AJ518" s="88" t="e">
        <f>SUMIFS(#REF!,#REF!,$D$511,#REF!,$G516,#REF!,AJ$480)</f>
        <v>#REF!</v>
      </c>
      <c r="AK518" s="88" t="e">
        <f>SUMIFS(#REF!,#REF!,$D$511,#REF!,$G516,#REF!,AK$480)</f>
        <v>#REF!</v>
      </c>
      <c r="AL518" s="88" t="e">
        <f>SUMIFS(#REF!,#REF!,$D$511,#REF!,$G516,#REF!,AL$480)</f>
        <v>#REF!</v>
      </c>
      <c r="AM518" s="88" t="e">
        <f>SUMIFS(#REF!,#REF!,$D$511,#REF!,$G516,#REF!,AM$480)</f>
        <v>#REF!</v>
      </c>
    </row>
    <row r="519" ht="20.25" hidden="1" customHeight="1" spans="3:39">
      <c r="C519" s="251"/>
      <c r="D519" s="251"/>
      <c r="E519" s="261"/>
      <c r="F519" s="261"/>
      <c r="G519" s="262"/>
      <c r="H519" s="260" t="s">
        <v>110</v>
      </c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  <c r="AA519" s="88"/>
      <c r="AB519" s="88"/>
      <c r="AC519" s="88"/>
      <c r="AD519" s="88"/>
      <c r="AE519" s="88"/>
      <c r="AF519" s="88"/>
      <c r="AG519" s="88"/>
      <c r="AH519" s="88"/>
      <c r="AI519" s="88"/>
      <c r="AJ519" s="88"/>
      <c r="AK519" s="88"/>
      <c r="AL519" s="88"/>
      <c r="AM519" s="88"/>
    </row>
    <row r="520" ht="20.25" hidden="1" customHeight="1" spans="3:39">
      <c r="C520" s="251"/>
      <c r="D520" s="251"/>
      <c r="E520" s="261"/>
      <c r="F520" s="261"/>
      <c r="G520" s="262"/>
      <c r="H520" s="260" t="s">
        <v>111</v>
      </c>
      <c r="I520" s="90" t="e">
        <f t="shared" ref="I520:AM520" si="211">I518/I516</f>
        <v>#REF!</v>
      </c>
      <c r="J520" s="90" t="e">
        <f t="shared" si="211"/>
        <v>#REF!</v>
      </c>
      <c r="K520" s="90" t="e">
        <f t="shared" si="211"/>
        <v>#REF!</v>
      </c>
      <c r="L520" s="90" t="e">
        <f t="shared" si="211"/>
        <v>#REF!</v>
      </c>
      <c r="M520" s="90" t="e">
        <f t="shared" si="211"/>
        <v>#REF!</v>
      </c>
      <c r="N520" s="90" t="e">
        <f t="shared" si="211"/>
        <v>#REF!</v>
      </c>
      <c r="O520" s="90" t="e">
        <f t="shared" si="211"/>
        <v>#REF!</v>
      </c>
      <c r="P520" s="90" t="e">
        <f t="shared" si="211"/>
        <v>#REF!</v>
      </c>
      <c r="Q520" s="90" t="e">
        <f t="shared" si="211"/>
        <v>#REF!</v>
      </c>
      <c r="R520" s="90" t="e">
        <f t="shared" si="211"/>
        <v>#REF!</v>
      </c>
      <c r="S520" s="90" t="e">
        <f t="shared" si="211"/>
        <v>#REF!</v>
      </c>
      <c r="T520" s="90" t="e">
        <f t="shared" si="211"/>
        <v>#REF!</v>
      </c>
      <c r="U520" s="90" t="e">
        <f t="shared" si="211"/>
        <v>#REF!</v>
      </c>
      <c r="V520" s="90" t="e">
        <f t="shared" si="211"/>
        <v>#REF!</v>
      </c>
      <c r="W520" s="90" t="e">
        <f t="shared" si="211"/>
        <v>#REF!</v>
      </c>
      <c r="X520" s="90" t="e">
        <f t="shared" si="211"/>
        <v>#REF!</v>
      </c>
      <c r="Y520" s="90" t="e">
        <f t="shared" si="211"/>
        <v>#REF!</v>
      </c>
      <c r="Z520" s="90" t="e">
        <f t="shared" si="211"/>
        <v>#REF!</v>
      </c>
      <c r="AA520" s="90" t="e">
        <f t="shared" si="211"/>
        <v>#REF!</v>
      </c>
      <c r="AB520" s="90" t="e">
        <f t="shared" si="211"/>
        <v>#REF!</v>
      </c>
      <c r="AC520" s="90" t="e">
        <f t="shared" si="211"/>
        <v>#REF!</v>
      </c>
      <c r="AD520" s="90" t="e">
        <f t="shared" si="211"/>
        <v>#REF!</v>
      </c>
      <c r="AE520" s="90" t="e">
        <f t="shared" si="211"/>
        <v>#REF!</v>
      </c>
      <c r="AF520" s="90" t="e">
        <f t="shared" si="211"/>
        <v>#REF!</v>
      </c>
      <c r="AG520" s="90" t="e">
        <f t="shared" si="211"/>
        <v>#REF!</v>
      </c>
      <c r="AH520" s="90" t="e">
        <f t="shared" si="211"/>
        <v>#REF!</v>
      </c>
      <c r="AI520" s="90" t="e">
        <f t="shared" si="211"/>
        <v>#REF!</v>
      </c>
      <c r="AJ520" s="90" t="e">
        <f t="shared" si="211"/>
        <v>#REF!</v>
      </c>
      <c r="AK520" s="90" t="e">
        <f t="shared" si="211"/>
        <v>#REF!</v>
      </c>
      <c r="AL520" s="90" t="e">
        <f t="shared" si="211"/>
        <v>#REF!</v>
      </c>
      <c r="AM520" s="90" t="e">
        <f t="shared" si="211"/>
        <v>#REF!</v>
      </c>
    </row>
    <row r="521" ht="20.25" hidden="1" customHeight="1" spans="3:39">
      <c r="C521" s="251"/>
      <c r="D521" s="251"/>
      <c r="E521" s="261"/>
      <c r="F521" s="261"/>
      <c r="G521" s="259" t="s">
        <v>117</v>
      </c>
      <c r="H521" s="260" t="s">
        <v>107</v>
      </c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  <c r="AA521" s="88"/>
      <c r="AB521" s="88"/>
      <c r="AC521" s="88"/>
      <c r="AD521" s="88"/>
      <c r="AE521" s="88"/>
      <c r="AF521" s="88"/>
      <c r="AG521" s="88"/>
      <c r="AH521" s="88"/>
      <c r="AI521" s="88"/>
      <c r="AJ521" s="88"/>
      <c r="AK521" s="88"/>
      <c r="AL521" s="88"/>
      <c r="AM521" s="88"/>
    </row>
    <row r="522" ht="20.25" hidden="1" customHeight="1" spans="3:39">
      <c r="C522" s="251"/>
      <c r="D522" s="251"/>
      <c r="E522" s="261"/>
      <c r="F522" s="261"/>
      <c r="G522" s="262"/>
      <c r="H522" s="260" t="s">
        <v>108</v>
      </c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  <c r="AA522" s="88"/>
      <c r="AB522" s="88"/>
      <c r="AC522" s="88"/>
      <c r="AD522" s="88"/>
      <c r="AE522" s="88"/>
      <c r="AF522" s="88"/>
      <c r="AG522" s="88"/>
      <c r="AH522" s="88"/>
      <c r="AI522" s="88"/>
      <c r="AJ522" s="88"/>
      <c r="AK522" s="88"/>
      <c r="AL522" s="88"/>
      <c r="AM522" s="88"/>
    </row>
    <row r="523" ht="20.25" hidden="1" customHeight="1" spans="3:39">
      <c r="C523" s="251"/>
      <c r="D523" s="251"/>
      <c r="E523" s="261"/>
      <c r="F523" s="261"/>
      <c r="G523" s="262"/>
      <c r="H523" s="260" t="s">
        <v>109</v>
      </c>
      <c r="I523" s="88" t="e">
        <f>SUM(J523:AM523)</f>
        <v>#REF!</v>
      </c>
      <c r="J523" s="88" t="e">
        <f>SUMIFS(#REF!,#REF!,$D$511,#REF!,$G521,#REF!,J$480)</f>
        <v>#REF!</v>
      </c>
      <c r="K523" s="88" t="e">
        <f>SUMIFS(#REF!,#REF!,$D$511,#REF!,$G521,#REF!,K$480)</f>
        <v>#REF!</v>
      </c>
      <c r="L523" s="88" t="e">
        <f>SUMIFS(#REF!,#REF!,$D$511,#REF!,$G521,#REF!,L$480)</f>
        <v>#REF!</v>
      </c>
      <c r="M523" s="88" t="e">
        <f>SUMIFS(#REF!,#REF!,$D$511,#REF!,$G521,#REF!,M$480)</f>
        <v>#REF!</v>
      </c>
      <c r="N523" s="88" t="e">
        <f>SUMIFS(#REF!,#REF!,$D$511,#REF!,$G521,#REF!,N$480)</f>
        <v>#REF!</v>
      </c>
      <c r="O523" s="88" t="e">
        <f>SUMIFS(#REF!,#REF!,$D$511,#REF!,$G521,#REF!,O$480)</f>
        <v>#REF!</v>
      </c>
      <c r="P523" s="88" t="e">
        <f>SUMIFS(#REF!,#REF!,$D$511,#REF!,$G521,#REF!,P$480)</f>
        <v>#REF!</v>
      </c>
      <c r="Q523" s="88" t="e">
        <f>SUMIFS(#REF!,#REF!,$D$511,#REF!,$G521,#REF!,Q$480)</f>
        <v>#REF!</v>
      </c>
      <c r="R523" s="88" t="e">
        <f>SUMIFS(#REF!,#REF!,$D$511,#REF!,$G521,#REF!,R$480)</f>
        <v>#REF!</v>
      </c>
      <c r="S523" s="88" t="e">
        <f>SUMIFS(#REF!,#REF!,$D$511,#REF!,$G521,#REF!,S$480)</f>
        <v>#REF!</v>
      </c>
      <c r="T523" s="88" t="e">
        <f>SUMIFS(#REF!,#REF!,$D$511,#REF!,$G521,#REF!,T$480)</f>
        <v>#REF!</v>
      </c>
      <c r="U523" s="88" t="e">
        <f>SUMIFS(#REF!,#REF!,$D$511,#REF!,$G521,#REF!,U$480)</f>
        <v>#REF!</v>
      </c>
      <c r="V523" s="88" t="e">
        <f>SUMIFS(#REF!,#REF!,$D$511,#REF!,$G521,#REF!,V$480)</f>
        <v>#REF!</v>
      </c>
      <c r="W523" s="88" t="e">
        <f>SUMIFS(#REF!,#REF!,$D$511,#REF!,$G521,#REF!,W$480)</f>
        <v>#REF!</v>
      </c>
      <c r="X523" s="88" t="e">
        <f>SUMIFS(#REF!,#REF!,$D$511,#REF!,$G521,#REF!,X$480)</f>
        <v>#REF!</v>
      </c>
      <c r="Y523" s="88" t="e">
        <f>SUMIFS(#REF!,#REF!,$D$511,#REF!,$G521,#REF!,Y$480)</f>
        <v>#REF!</v>
      </c>
      <c r="Z523" s="88" t="e">
        <f>SUMIFS(#REF!,#REF!,$D$511,#REF!,$G521,#REF!,Z$480)</f>
        <v>#REF!</v>
      </c>
      <c r="AA523" s="88" t="e">
        <f>SUMIFS(#REF!,#REF!,$D$511,#REF!,$G521,#REF!,AA$480)</f>
        <v>#REF!</v>
      </c>
      <c r="AB523" s="88" t="e">
        <f>SUMIFS(#REF!,#REF!,$D$511,#REF!,$G521,#REF!,AB$480)</f>
        <v>#REF!</v>
      </c>
      <c r="AC523" s="88" t="e">
        <f>SUMIFS(#REF!,#REF!,$D$511,#REF!,$G521,#REF!,AC$480)</f>
        <v>#REF!</v>
      </c>
      <c r="AD523" s="88" t="e">
        <f>SUMIFS(#REF!,#REF!,$D$511,#REF!,$G521,#REF!,AD$480)</f>
        <v>#REF!</v>
      </c>
      <c r="AE523" s="88" t="e">
        <f>SUMIFS(#REF!,#REF!,$D$511,#REF!,$G521,#REF!,AE$480)</f>
        <v>#REF!</v>
      </c>
      <c r="AF523" s="88" t="e">
        <f>SUMIFS(#REF!,#REF!,$D$511,#REF!,$G521,#REF!,AF$480)</f>
        <v>#REF!</v>
      </c>
      <c r="AG523" s="88" t="e">
        <f>SUMIFS(#REF!,#REF!,$D$511,#REF!,$G521,#REF!,AG$480)</f>
        <v>#REF!</v>
      </c>
      <c r="AH523" s="88" t="e">
        <f>SUMIFS(#REF!,#REF!,$D$511,#REF!,$G521,#REF!,AH$480)</f>
        <v>#REF!</v>
      </c>
      <c r="AI523" s="88" t="e">
        <f>SUMIFS(#REF!,#REF!,$D$511,#REF!,$G521,#REF!,AI$480)</f>
        <v>#REF!</v>
      </c>
      <c r="AJ523" s="88" t="e">
        <f>SUMIFS(#REF!,#REF!,$D$511,#REF!,$G521,#REF!,AJ$480)</f>
        <v>#REF!</v>
      </c>
      <c r="AK523" s="88" t="e">
        <f>SUMIFS(#REF!,#REF!,$D$511,#REF!,$G521,#REF!,AK$480)</f>
        <v>#REF!</v>
      </c>
      <c r="AL523" s="88" t="e">
        <f>SUMIFS(#REF!,#REF!,$D$511,#REF!,$G521,#REF!,AL$480)</f>
        <v>#REF!</v>
      </c>
      <c r="AM523" s="88" t="e">
        <f>SUMIFS(#REF!,#REF!,$D$511,#REF!,$G521,#REF!,AM$480)</f>
        <v>#REF!</v>
      </c>
    </row>
    <row r="524" ht="20.25" hidden="1" customHeight="1" spans="3:39">
      <c r="C524" s="251"/>
      <c r="D524" s="251"/>
      <c r="E524" s="261"/>
      <c r="F524" s="261"/>
      <c r="G524" s="262"/>
      <c r="H524" s="260" t="s">
        <v>110</v>
      </c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88"/>
      <c r="AL524" s="88"/>
      <c r="AM524" s="88"/>
    </row>
    <row r="525" ht="20.25" hidden="1" customHeight="1" spans="3:39">
      <c r="C525" s="251"/>
      <c r="D525" s="251"/>
      <c r="E525" s="261"/>
      <c r="F525" s="261"/>
      <c r="G525" s="262"/>
      <c r="H525" s="260" t="s">
        <v>111</v>
      </c>
      <c r="I525" s="90" t="e">
        <f t="shared" ref="I525:AM525" si="212">I523/I521</f>
        <v>#REF!</v>
      </c>
      <c r="J525" s="90" t="e">
        <f t="shared" si="212"/>
        <v>#REF!</v>
      </c>
      <c r="K525" s="90" t="e">
        <f t="shared" si="212"/>
        <v>#REF!</v>
      </c>
      <c r="L525" s="90" t="e">
        <f t="shared" si="212"/>
        <v>#REF!</v>
      </c>
      <c r="M525" s="90" t="e">
        <f t="shared" si="212"/>
        <v>#REF!</v>
      </c>
      <c r="N525" s="90" t="e">
        <f t="shared" si="212"/>
        <v>#REF!</v>
      </c>
      <c r="O525" s="90" t="e">
        <f t="shared" si="212"/>
        <v>#REF!</v>
      </c>
      <c r="P525" s="90" t="e">
        <f t="shared" si="212"/>
        <v>#REF!</v>
      </c>
      <c r="Q525" s="90" t="e">
        <f t="shared" si="212"/>
        <v>#REF!</v>
      </c>
      <c r="R525" s="90" t="e">
        <f t="shared" si="212"/>
        <v>#REF!</v>
      </c>
      <c r="S525" s="90" t="e">
        <f t="shared" si="212"/>
        <v>#REF!</v>
      </c>
      <c r="T525" s="90" t="e">
        <f t="shared" si="212"/>
        <v>#REF!</v>
      </c>
      <c r="U525" s="90" t="e">
        <f t="shared" si="212"/>
        <v>#REF!</v>
      </c>
      <c r="V525" s="90" t="e">
        <f t="shared" si="212"/>
        <v>#REF!</v>
      </c>
      <c r="W525" s="90" t="e">
        <f t="shared" si="212"/>
        <v>#REF!</v>
      </c>
      <c r="X525" s="90" t="e">
        <f t="shared" si="212"/>
        <v>#REF!</v>
      </c>
      <c r="Y525" s="90" t="e">
        <f t="shared" si="212"/>
        <v>#REF!</v>
      </c>
      <c r="Z525" s="90" t="e">
        <f t="shared" si="212"/>
        <v>#REF!</v>
      </c>
      <c r="AA525" s="90" t="e">
        <f t="shared" si="212"/>
        <v>#REF!</v>
      </c>
      <c r="AB525" s="90" t="e">
        <f t="shared" si="212"/>
        <v>#REF!</v>
      </c>
      <c r="AC525" s="90" t="e">
        <f t="shared" si="212"/>
        <v>#REF!</v>
      </c>
      <c r="AD525" s="90" t="e">
        <f t="shared" si="212"/>
        <v>#REF!</v>
      </c>
      <c r="AE525" s="90" t="e">
        <f t="shared" si="212"/>
        <v>#REF!</v>
      </c>
      <c r="AF525" s="90" t="e">
        <f t="shared" si="212"/>
        <v>#REF!</v>
      </c>
      <c r="AG525" s="90" t="e">
        <f t="shared" si="212"/>
        <v>#REF!</v>
      </c>
      <c r="AH525" s="90" t="e">
        <f t="shared" si="212"/>
        <v>#REF!</v>
      </c>
      <c r="AI525" s="90" t="e">
        <f t="shared" si="212"/>
        <v>#REF!</v>
      </c>
      <c r="AJ525" s="90" t="e">
        <f t="shared" si="212"/>
        <v>#REF!</v>
      </c>
      <c r="AK525" s="90" t="e">
        <f t="shared" si="212"/>
        <v>#REF!</v>
      </c>
      <c r="AL525" s="90" t="e">
        <f t="shared" si="212"/>
        <v>#REF!</v>
      </c>
      <c r="AM525" s="90" t="e">
        <f t="shared" si="212"/>
        <v>#REF!</v>
      </c>
    </row>
    <row r="526" ht="20.25" hidden="1" customHeight="1" spans="3:39">
      <c r="C526" s="251"/>
      <c r="D526" s="251"/>
      <c r="E526" s="261"/>
      <c r="F526" s="261"/>
      <c r="G526" s="259" t="s">
        <v>118</v>
      </c>
      <c r="H526" s="260" t="s">
        <v>107</v>
      </c>
      <c r="I526" s="88">
        <v>28020</v>
      </c>
      <c r="J526" s="88">
        <v>1121</v>
      </c>
      <c r="K526" s="88">
        <v>1077</v>
      </c>
      <c r="L526" s="88">
        <v>1077</v>
      </c>
      <c r="M526" s="88">
        <v>842</v>
      </c>
      <c r="N526" s="88">
        <v>777</v>
      </c>
      <c r="O526" s="88">
        <v>703</v>
      </c>
      <c r="P526" s="88">
        <v>759</v>
      </c>
      <c r="Q526" s="88">
        <v>756</v>
      </c>
      <c r="R526" s="88">
        <v>780</v>
      </c>
      <c r="S526" s="88">
        <v>802</v>
      </c>
      <c r="T526" s="88">
        <v>802</v>
      </c>
      <c r="U526" s="88">
        <v>777</v>
      </c>
      <c r="V526" s="88">
        <v>799</v>
      </c>
      <c r="W526" s="88">
        <v>1024</v>
      </c>
      <c r="X526" s="88">
        <v>1042</v>
      </c>
      <c r="Y526" s="88">
        <v>1289</v>
      </c>
      <c r="Z526" s="88">
        <v>1613</v>
      </c>
      <c r="AA526" s="88">
        <v>3357</v>
      </c>
      <c r="AB526" s="88">
        <v>1305</v>
      </c>
      <c r="AC526" s="88">
        <v>1073</v>
      </c>
      <c r="AD526" s="88">
        <v>610</v>
      </c>
      <c r="AE526" s="88">
        <v>610</v>
      </c>
      <c r="AF526" s="88">
        <v>613</v>
      </c>
      <c r="AG526" s="88">
        <v>638</v>
      </c>
      <c r="AH526" s="88">
        <v>613</v>
      </c>
      <c r="AI526" s="88">
        <v>663</v>
      </c>
      <c r="AJ526" s="88">
        <v>567</v>
      </c>
      <c r="AK526" s="88">
        <v>648</v>
      </c>
      <c r="AL526" s="88">
        <v>641</v>
      </c>
      <c r="AM526" s="88">
        <v>641</v>
      </c>
    </row>
    <row r="527" ht="20.25" hidden="1" customHeight="1" spans="3:39">
      <c r="C527" s="251"/>
      <c r="D527" s="251"/>
      <c r="E527" s="261"/>
      <c r="F527" s="261"/>
      <c r="G527" s="262"/>
      <c r="H527" s="260" t="s">
        <v>108</v>
      </c>
      <c r="I527" s="90">
        <v>0.2</v>
      </c>
      <c r="J527" s="90">
        <v>0.2</v>
      </c>
      <c r="K527" s="90">
        <v>0.2</v>
      </c>
      <c r="L527" s="90">
        <v>0.2</v>
      </c>
      <c r="M527" s="90">
        <v>0.2</v>
      </c>
      <c r="N527" s="90">
        <v>0.2</v>
      </c>
      <c r="O527" s="90">
        <v>0.2</v>
      </c>
      <c r="P527" s="90">
        <v>0.2</v>
      </c>
      <c r="Q527" s="90">
        <v>0.2</v>
      </c>
      <c r="R527" s="90">
        <v>0.2</v>
      </c>
      <c r="S527" s="90">
        <v>0.2</v>
      </c>
      <c r="T527" s="90">
        <v>0.2</v>
      </c>
      <c r="U527" s="90">
        <v>0.2</v>
      </c>
      <c r="V527" s="90">
        <v>0.2</v>
      </c>
      <c r="W527" s="90">
        <v>0.2</v>
      </c>
      <c r="X527" s="90">
        <v>0.2</v>
      </c>
      <c r="Y527" s="90">
        <v>0.2</v>
      </c>
      <c r="Z527" s="90">
        <v>0.2</v>
      </c>
      <c r="AA527" s="90">
        <v>0.2</v>
      </c>
      <c r="AB527" s="90">
        <v>0.2</v>
      </c>
      <c r="AC527" s="90">
        <v>0.2</v>
      </c>
      <c r="AD527" s="90">
        <v>0.2</v>
      </c>
      <c r="AE527" s="90">
        <v>0.2</v>
      </c>
      <c r="AF527" s="90">
        <v>0.2</v>
      </c>
      <c r="AG527" s="90">
        <v>0.2</v>
      </c>
      <c r="AH527" s="90">
        <v>0.2</v>
      </c>
      <c r="AI527" s="90">
        <v>0.2</v>
      </c>
      <c r="AJ527" s="90">
        <v>0.2</v>
      </c>
      <c r="AK527" s="90">
        <v>0.2</v>
      </c>
      <c r="AL527" s="90">
        <v>0.2</v>
      </c>
      <c r="AM527" s="90">
        <v>0.2</v>
      </c>
    </row>
    <row r="528" ht="20.25" hidden="1" customHeight="1" spans="3:39">
      <c r="C528" s="251"/>
      <c r="D528" s="251"/>
      <c r="E528" s="261"/>
      <c r="F528" s="261"/>
      <c r="G528" s="262"/>
      <c r="H528" s="260" t="s">
        <v>109</v>
      </c>
      <c r="I528" s="88" t="e">
        <f>SUM(J528:AM528)</f>
        <v>#REF!</v>
      </c>
      <c r="J528" s="88" t="e">
        <f>SUMIFS(#REF!,#REF!,$D$511,#REF!,$G526,#REF!,J$480)</f>
        <v>#REF!</v>
      </c>
      <c r="K528" s="88" t="e">
        <f>SUMIFS(#REF!,#REF!,$D$511,#REF!,$G526,#REF!,K$480)</f>
        <v>#REF!</v>
      </c>
      <c r="L528" s="88" t="e">
        <f>SUMIFS(#REF!,#REF!,$D$511,#REF!,$G526,#REF!,L$480)</f>
        <v>#REF!</v>
      </c>
      <c r="M528" s="88" t="e">
        <f>SUMIFS(#REF!,#REF!,$D$511,#REF!,$G526,#REF!,M$480)</f>
        <v>#REF!</v>
      </c>
      <c r="N528" s="88" t="e">
        <f>SUMIFS(#REF!,#REF!,$D$511,#REF!,$G526,#REF!,N$480)</f>
        <v>#REF!</v>
      </c>
      <c r="O528" s="88" t="e">
        <f>SUMIFS(#REF!,#REF!,$D$511,#REF!,$G526,#REF!,O$480)</f>
        <v>#REF!</v>
      </c>
      <c r="P528" s="88" t="e">
        <f>SUMIFS(#REF!,#REF!,$D$511,#REF!,$G526,#REF!,P$480)</f>
        <v>#REF!</v>
      </c>
      <c r="Q528" s="88" t="e">
        <f>SUMIFS(#REF!,#REF!,$D$511,#REF!,$G526,#REF!,Q$480)</f>
        <v>#REF!</v>
      </c>
      <c r="R528" s="88" t="e">
        <f>SUMIFS(#REF!,#REF!,$D$511,#REF!,$G526,#REF!,R$480)</f>
        <v>#REF!</v>
      </c>
      <c r="S528" s="88" t="e">
        <f>SUMIFS(#REF!,#REF!,$D$511,#REF!,$G526,#REF!,S$480)</f>
        <v>#REF!</v>
      </c>
      <c r="T528" s="88" t="e">
        <f>SUMIFS(#REF!,#REF!,$D$511,#REF!,$G526,#REF!,T$480)</f>
        <v>#REF!</v>
      </c>
      <c r="U528" s="88" t="e">
        <f>SUMIFS(#REF!,#REF!,$D$511,#REF!,$G526,#REF!,U$480)</f>
        <v>#REF!</v>
      </c>
      <c r="V528" s="88" t="e">
        <f>SUMIFS(#REF!,#REF!,$D$511,#REF!,$G526,#REF!,V$480)</f>
        <v>#REF!</v>
      </c>
      <c r="W528" s="88" t="e">
        <f>SUMIFS(#REF!,#REF!,$D$511,#REF!,$G526,#REF!,W$480)</f>
        <v>#REF!</v>
      </c>
      <c r="X528" s="88" t="e">
        <f>SUMIFS(#REF!,#REF!,$D$511,#REF!,$G526,#REF!,X$480)</f>
        <v>#REF!</v>
      </c>
      <c r="Y528" s="88" t="e">
        <f>SUMIFS(#REF!,#REF!,$D$511,#REF!,$G526,#REF!,Y$480)</f>
        <v>#REF!</v>
      </c>
      <c r="Z528" s="88" t="e">
        <f>SUMIFS(#REF!,#REF!,$D$511,#REF!,$G526,#REF!,Z$480)</f>
        <v>#REF!</v>
      </c>
      <c r="AA528" s="88" t="e">
        <f>SUMIFS(#REF!,#REF!,$D$511,#REF!,$G526,#REF!,AA$480)</f>
        <v>#REF!</v>
      </c>
      <c r="AB528" s="88" t="e">
        <f>SUMIFS(#REF!,#REF!,$D$511,#REF!,$G526,#REF!,AB$480)</f>
        <v>#REF!</v>
      </c>
      <c r="AC528" s="88" t="e">
        <f>SUMIFS(#REF!,#REF!,$D$511,#REF!,$G526,#REF!,AC$480)</f>
        <v>#REF!</v>
      </c>
      <c r="AD528" s="88" t="e">
        <f>SUMIFS(#REF!,#REF!,$D$511,#REF!,$G526,#REF!,AD$480)</f>
        <v>#REF!</v>
      </c>
      <c r="AE528" s="88" t="e">
        <f>SUMIFS(#REF!,#REF!,$D$511,#REF!,$G526,#REF!,AE$480)</f>
        <v>#REF!</v>
      </c>
      <c r="AF528" s="88" t="e">
        <f>SUMIFS(#REF!,#REF!,$D$511,#REF!,$G526,#REF!,AF$480)</f>
        <v>#REF!</v>
      </c>
      <c r="AG528" s="88" t="e">
        <f>SUMIFS(#REF!,#REF!,$D$511,#REF!,$G526,#REF!,AG$480)</f>
        <v>#REF!</v>
      </c>
      <c r="AH528" s="88" t="e">
        <f>SUMIFS(#REF!,#REF!,$D$511,#REF!,$G526,#REF!,AH$480)</f>
        <v>#REF!</v>
      </c>
      <c r="AI528" s="88" t="e">
        <f>SUMIFS(#REF!,#REF!,$D$511,#REF!,$G526,#REF!,AI$480)</f>
        <v>#REF!</v>
      </c>
      <c r="AJ528" s="88" t="e">
        <f>SUMIFS(#REF!,#REF!,$D$511,#REF!,$G526,#REF!,AJ$480)</f>
        <v>#REF!</v>
      </c>
      <c r="AK528" s="88" t="e">
        <f>SUMIFS(#REF!,#REF!,$D$511,#REF!,$G526,#REF!,AK$480)</f>
        <v>#REF!</v>
      </c>
      <c r="AL528" s="88" t="e">
        <f>SUMIFS(#REF!,#REF!,$D$511,#REF!,$G526,#REF!,AL$480)</f>
        <v>#REF!</v>
      </c>
      <c r="AM528" s="88" t="e">
        <f>SUMIFS(#REF!,#REF!,$D$511,#REF!,$G526,#REF!,AM$480)</f>
        <v>#REF!</v>
      </c>
    </row>
    <row r="529" ht="20.25" hidden="1" customHeight="1" spans="3:39">
      <c r="C529" s="251"/>
      <c r="D529" s="251"/>
      <c r="E529" s="261"/>
      <c r="F529" s="261"/>
      <c r="G529" s="262"/>
      <c r="H529" s="260" t="s">
        <v>110</v>
      </c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88"/>
      <c r="AL529" s="88"/>
      <c r="AM529" s="88"/>
    </row>
    <row r="530" ht="20.25" hidden="1" customHeight="1" spans="3:39">
      <c r="C530" s="251"/>
      <c r="D530" s="251"/>
      <c r="E530" s="261"/>
      <c r="F530" s="261"/>
      <c r="G530" s="262"/>
      <c r="H530" s="260" t="s">
        <v>111</v>
      </c>
      <c r="I530" s="90" t="e">
        <f t="shared" ref="I530:AM530" si="213">I528/I526</f>
        <v>#REF!</v>
      </c>
      <c r="J530" s="90" t="e">
        <f t="shared" si="213"/>
        <v>#REF!</v>
      </c>
      <c r="K530" s="90" t="e">
        <f t="shared" si="213"/>
        <v>#REF!</v>
      </c>
      <c r="L530" s="90" t="e">
        <f t="shared" si="213"/>
        <v>#REF!</v>
      </c>
      <c r="M530" s="90" t="e">
        <f t="shared" si="213"/>
        <v>#REF!</v>
      </c>
      <c r="N530" s="90" t="e">
        <f t="shared" si="213"/>
        <v>#REF!</v>
      </c>
      <c r="O530" s="90" t="e">
        <f t="shared" si="213"/>
        <v>#REF!</v>
      </c>
      <c r="P530" s="90" t="e">
        <f t="shared" si="213"/>
        <v>#REF!</v>
      </c>
      <c r="Q530" s="90" t="e">
        <f t="shared" si="213"/>
        <v>#REF!</v>
      </c>
      <c r="R530" s="90" t="e">
        <f t="shared" si="213"/>
        <v>#REF!</v>
      </c>
      <c r="S530" s="90" t="e">
        <f t="shared" si="213"/>
        <v>#REF!</v>
      </c>
      <c r="T530" s="90" t="e">
        <f t="shared" si="213"/>
        <v>#REF!</v>
      </c>
      <c r="U530" s="90" t="e">
        <f t="shared" si="213"/>
        <v>#REF!</v>
      </c>
      <c r="V530" s="90" t="e">
        <f t="shared" si="213"/>
        <v>#REF!</v>
      </c>
      <c r="W530" s="90" t="e">
        <f t="shared" si="213"/>
        <v>#REF!</v>
      </c>
      <c r="X530" s="90" t="e">
        <f t="shared" si="213"/>
        <v>#REF!</v>
      </c>
      <c r="Y530" s="90" t="e">
        <f t="shared" si="213"/>
        <v>#REF!</v>
      </c>
      <c r="Z530" s="90" t="e">
        <f t="shared" si="213"/>
        <v>#REF!</v>
      </c>
      <c r="AA530" s="90" t="e">
        <f t="shared" si="213"/>
        <v>#REF!</v>
      </c>
      <c r="AB530" s="90" t="e">
        <f t="shared" si="213"/>
        <v>#REF!</v>
      </c>
      <c r="AC530" s="90" t="e">
        <f t="shared" si="213"/>
        <v>#REF!</v>
      </c>
      <c r="AD530" s="90" t="e">
        <f t="shared" si="213"/>
        <v>#REF!</v>
      </c>
      <c r="AE530" s="90" t="e">
        <f t="shared" si="213"/>
        <v>#REF!</v>
      </c>
      <c r="AF530" s="90" t="e">
        <f t="shared" si="213"/>
        <v>#REF!</v>
      </c>
      <c r="AG530" s="90" t="e">
        <f t="shared" si="213"/>
        <v>#REF!</v>
      </c>
      <c r="AH530" s="90" t="e">
        <f t="shared" si="213"/>
        <v>#REF!</v>
      </c>
      <c r="AI530" s="90" t="e">
        <f t="shared" si="213"/>
        <v>#REF!</v>
      </c>
      <c r="AJ530" s="90" t="e">
        <f t="shared" si="213"/>
        <v>#REF!</v>
      </c>
      <c r="AK530" s="90" t="e">
        <f t="shared" si="213"/>
        <v>#REF!</v>
      </c>
      <c r="AL530" s="90" t="e">
        <f t="shared" si="213"/>
        <v>#REF!</v>
      </c>
      <c r="AM530" s="90" t="e">
        <f t="shared" si="213"/>
        <v>#REF!</v>
      </c>
    </row>
    <row r="531" ht="20.25" hidden="1" customHeight="1" spans="3:39">
      <c r="C531" s="251"/>
      <c r="D531" s="251"/>
      <c r="E531" s="261"/>
      <c r="F531" s="261"/>
      <c r="G531" s="259" t="s">
        <v>119</v>
      </c>
      <c r="H531" s="260" t="s">
        <v>107</v>
      </c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88"/>
      <c r="AL531" s="88"/>
      <c r="AM531" s="88"/>
    </row>
    <row r="532" ht="20.25" hidden="1" customHeight="1" spans="3:39">
      <c r="C532" s="251"/>
      <c r="D532" s="251"/>
      <c r="E532" s="261"/>
      <c r="F532" s="261"/>
      <c r="G532" s="262"/>
      <c r="H532" s="260" t="s">
        <v>108</v>
      </c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88"/>
      <c r="AL532" s="88"/>
      <c r="AM532" s="88"/>
    </row>
    <row r="533" ht="20.25" hidden="1" customHeight="1" spans="3:39">
      <c r="C533" s="251"/>
      <c r="D533" s="251"/>
      <c r="E533" s="261"/>
      <c r="F533" s="261"/>
      <c r="G533" s="262"/>
      <c r="H533" s="260" t="s">
        <v>109</v>
      </c>
      <c r="I533" s="88" t="e">
        <f>SUM(J533:AM533)</f>
        <v>#REF!</v>
      </c>
      <c r="J533" s="88" t="e">
        <f>SUMIFS(#REF!,#REF!,$D$511,#REF!,$G531,#REF!,J$480)</f>
        <v>#REF!</v>
      </c>
      <c r="K533" s="88" t="e">
        <f>SUMIFS(#REF!,#REF!,$D$511,#REF!,$G531,#REF!,K$480)</f>
        <v>#REF!</v>
      </c>
      <c r="L533" s="88" t="e">
        <f>SUMIFS(#REF!,#REF!,$D$511,#REF!,$G531,#REF!,L$480)</f>
        <v>#REF!</v>
      </c>
      <c r="M533" s="88" t="e">
        <f>SUMIFS(#REF!,#REF!,$D$511,#REF!,$G531,#REF!,M$480)</f>
        <v>#REF!</v>
      </c>
      <c r="N533" s="88" t="e">
        <f>SUMIFS(#REF!,#REF!,$D$511,#REF!,$G531,#REF!,N$480)</f>
        <v>#REF!</v>
      </c>
      <c r="O533" s="88" t="e">
        <f>SUMIFS(#REF!,#REF!,$D$511,#REF!,$G531,#REF!,O$480)</f>
        <v>#REF!</v>
      </c>
      <c r="P533" s="88" t="e">
        <f>SUMIFS(#REF!,#REF!,$D$511,#REF!,$G531,#REF!,P$480)</f>
        <v>#REF!</v>
      </c>
      <c r="Q533" s="88" t="e">
        <f>SUMIFS(#REF!,#REF!,$D$511,#REF!,$G531,#REF!,Q$480)</f>
        <v>#REF!</v>
      </c>
      <c r="R533" s="88" t="e">
        <f>SUMIFS(#REF!,#REF!,$D$511,#REF!,$G531,#REF!,R$480)</f>
        <v>#REF!</v>
      </c>
      <c r="S533" s="88" t="e">
        <f>SUMIFS(#REF!,#REF!,$D$511,#REF!,$G531,#REF!,S$480)</f>
        <v>#REF!</v>
      </c>
      <c r="T533" s="88" t="e">
        <f>SUMIFS(#REF!,#REF!,$D$511,#REF!,$G531,#REF!,T$480)</f>
        <v>#REF!</v>
      </c>
      <c r="U533" s="88" t="e">
        <f>SUMIFS(#REF!,#REF!,$D$511,#REF!,$G531,#REF!,U$480)</f>
        <v>#REF!</v>
      </c>
      <c r="V533" s="88" t="e">
        <f>SUMIFS(#REF!,#REF!,$D$511,#REF!,$G531,#REF!,V$480)</f>
        <v>#REF!</v>
      </c>
      <c r="W533" s="88" t="e">
        <f>SUMIFS(#REF!,#REF!,$D$511,#REF!,$G531,#REF!,W$480)</f>
        <v>#REF!</v>
      </c>
      <c r="X533" s="88" t="e">
        <f>SUMIFS(#REF!,#REF!,$D$511,#REF!,$G531,#REF!,X$480)</f>
        <v>#REF!</v>
      </c>
      <c r="Y533" s="88" t="e">
        <f>SUMIFS(#REF!,#REF!,$D$511,#REF!,$G531,#REF!,Y$480)</f>
        <v>#REF!</v>
      </c>
      <c r="Z533" s="88" t="e">
        <f>SUMIFS(#REF!,#REF!,$D$511,#REF!,$G531,#REF!,Z$480)</f>
        <v>#REF!</v>
      </c>
      <c r="AA533" s="88" t="e">
        <f>SUMIFS(#REF!,#REF!,$D$511,#REF!,$G531,#REF!,AA$480)</f>
        <v>#REF!</v>
      </c>
      <c r="AB533" s="88" t="e">
        <f>SUMIFS(#REF!,#REF!,$D$511,#REF!,$G531,#REF!,AB$480)</f>
        <v>#REF!</v>
      </c>
      <c r="AC533" s="88" t="e">
        <f>SUMIFS(#REF!,#REF!,$D$511,#REF!,$G531,#REF!,AC$480)</f>
        <v>#REF!</v>
      </c>
      <c r="AD533" s="88" t="e">
        <f>SUMIFS(#REF!,#REF!,$D$511,#REF!,$G531,#REF!,AD$480)</f>
        <v>#REF!</v>
      </c>
      <c r="AE533" s="88" t="e">
        <f>SUMIFS(#REF!,#REF!,$D$511,#REF!,$G531,#REF!,AE$480)</f>
        <v>#REF!</v>
      </c>
      <c r="AF533" s="88" t="e">
        <f>SUMIFS(#REF!,#REF!,$D$511,#REF!,$G531,#REF!,AF$480)</f>
        <v>#REF!</v>
      </c>
      <c r="AG533" s="88" t="e">
        <f>SUMIFS(#REF!,#REF!,$D$511,#REF!,$G531,#REF!,AG$480)</f>
        <v>#REF!</v>
      </c>
      <c r="AH533" s="88" t="e">
        <f>SUMIFS(#REF!,#REF!,$D$511,#REF!,$G531,#REF!,AH$480)</f>
        <v>#REF!</v>
      </c>
      <c r="AI533" s="88" t="e">
        <f>SUMIFS(#REF!,#REF!,$D$511,#REF!,$G531,#REF!,AI$480)</f>
        <v>#REF!</v>
      </c>
      <c r="AJ533" s="88" t="e">
        <f>SUMIFS(#REF!,#REF!,$D$511,#REF!,$G531,#REF!,AJ$480)</f>
        <v>#REF!</v>
      </c>
      <c r="AK533" s="88" t="e">
        <f>SUMIFS(#REF!,#REF!,$D$511,#REF!,$G531,#REF!,AK$480)</f>
        <v>#REF!</v>
      </c>
      <c r="AL533" s="88" t="e">
        <f>SUMIFS(#REF!,#REF!,$D$511,#REF!,$G531,#REF!,AL$480)</f>
        <v>#REF!</v>
      </c>
      <c r="AM533" s="88" t="e">
        <f>SUMIFS(#REF!,#REF!,$D$511,#REF!,$G531,#REF!,AM$480)</f>
        <v>#REF!</v>
      </c>
    </row>
    <row r="534" ht="20.25" hidden="1" customHeight="1" spans="3:39">
      <c r="C534" s="251"/>
      <c r="D534" s="251"/>
      <c r="E534" s="261"/>
      <c r="F534" s="261"/>
      <c r="G534" s="262"/>
      <c r="H534" s="260" t="s">
        <v>110</v>
      </c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88"/>
      <c r="AL534" s="88"/>
      <c r="AM534" s="88"/>
    </row>
    <row r="535" ht="20.25" hidden="1" customHeight="1" spans="3:39">
      <c r="C535" s="251"/>
      <c r="D535" s="251"/>
      <c r="E535" s="261"/>
      <c r="F535" s="261"/>
      <c r="G535" s="262"/>
      <c r="H535" s="260" t="s">
        <v>111</v>
      </c>
      <c r="I535" s="90" t="e">
        <f t="shared" ref="I535:AM535" si="214">I533/I531</f>
        <v>#REF!</v>
      </c>
      <c r="J535" s="90" t="e">
        <f t="shared" si="214"/>
        <v>#REF!</v>
      </c>
      <c r="K535" s="90" t="e">
        <f t="shared" si="214"/>
        <v>#REF!</v>
      </c>
      <c r="L535" s="90" t="e">
        <f t="shared" si="214"/>
        <v>#REF!</v>
      </c>
      <c r="M535" s="90" t="e">
        <f t="shared" si="214"/>
        <v>#REF!</v>
      </c>
      <c r="N535" s="90" t="e">
        <f t="shared" si="214"/>
        <v>#REF!</v>
      </c>
      <c r="O535" s="90" t="e">
        <f t="shared" si="214"/>
        <v>#REF!</v>
      </c>
      <c r="P535" s="90" t="e">
        <f t="shared" si="214"/>
        <v>#REF!</v>
      </c>
      <c r="Q535" s="90" t="e">
        <f t="shared" si="214"/>
        <v>#REF!</v>
      </c>
      <c r="R535" s="90" t="e">
        <f t="shared" si="214"/>
        <v>#REF!</v>
      </c>
      <c r="S535" s="90" t="e">
        <f t="shared" si="214"/>
        <v>#REF!</v>
      </c>
      <c r="T535" s="90" t="e">
        <f t="shared" si="214"/>
        <v>#REF!</v>
      </c>
      <c r="U535" s="90" t="e">
        <f t="shared" si="214"/>
        <v>#REF!</v>
      </c>
      <c r="V535" s="90" t="e">
        <f t="shared" si="214"/>
        <v>#REF!</v>
      </c>
      <c r="W535" s="90" t="e">
        <f t="shared" si="214"/>
        <v>#REF!</v>
      </c>
      <c r="X535" s="90" t="e">
        <f t="shared" si="214"/>
        <v>#REF!</v>
      </c>
      <c r="Y535" s="90" t="e">
        <f t="shared" si="214"/>
        <v>#REF!</v>
      </c>
      <c r="Z535" s="90" t="e">
        <f t="shared" si="214"/>
        <v>#REF!</v>
      </c>
      <c r="AA535" s="90" t="e">
        <f t="shared" si="214"/>
        <v>#REF!</v>
      </c>
      <c r="AB535" s="90" t="e">
        <f t="shared" si="214"/>
        <v>#REF!</v>
      </c>
      <c r="AC535" s="90" t="e">
        <f t="shared" si="214"/>
        <v>#REF!</v>
      </c>
      <c r="AD535" s="90" t="e">
        <f t="shared" si="214"/>
        <v>#REF!</v>
      </c>
      <c r="AE535" s="90" t="e">
        <f t="shared" si="214"/>
        <v>#REF!</v>
      </c>
      <c r="AF535" s="90" t="e">
        <f t="shared" si="214"/>
        <v>#REF!</v>
      </c>
      <c r="AG535" s="90" t="e">
        <f t="shared" si="214"/>
        <v>#REF!</v>
      </c>
      <c r="AH535" s="90" t="e">
        <f t="shared" si="214"/>
        <v>#REF!</v>
      </c>
      <c r="AI535" s="90" t="e">
        <f t="shared" si="214"/>
        <v>#REF!</v>
      </c>
      <c r="AJ535" s="90" t="e">
        <f t="shared" si="214"/>
        <v>#REF!</v>
      </c>
      <c r="AK535" s="90" t="e">
        <f t="shared" si="214"/>
        <v>#REF!</v>
      </c>
      <c r="AL535" s="90" t="e">
        <f t="shared" si="214"/>
        <v>#REF!</v>
      </c>
      <c r="AM535" s="90" t="e">
        <f t="shared" si="214"/>
        <v>#REF!</v>
      </c>
    </row>
    <row r="536" ht="20.25" hidden="1" customHeight="1" spans="3:39">
      <c r="C536" s="251"/>
      <c r="D536" s="251"/>
      <c r="E536" s="261"/>
      <c r="F536" s="261"/>
      <c r="G536" s="263" t="s">
        <v>94</v>
      </c>
      <c r="H536" s="260" t="s">
        <v>107</v>
      </c>
      <c r="I536" s="88">
        <v>140098</v>
      </c>
      <c r="J536" s="88">
        <v>5606</v>
      </c>
      <c r="K536" s="88">
        <v>5383</v>
      </c>
      <c r="L536" s="88">
        <v>5383</v>
      </c>
      <c r="M536" s="88">
        <v>4209</v>
      </c>
      <c r="N536" s="88">
        <v>3886</v>
      </c>
      <c r="O536" s="88">
        <v>3514</v>
      </c>
      <c r="P536" s="88">
        <v>3794</v>
      </c>
      <c r="Q536" s="88">
        <v>3778</v>
      </c>
      <c r="R536" s="88">
        <v>3902</v>
      </c>
      <c r="S536" s="88">
        <v>4010</v>
      </c>
      <c r="T536" s="88">
        <v>4010</v>
      </c>
      <c r="U536" s="88">
        <v>3886</v>
      </c>
      <c r="V536" s="88">
        <v>3993</v>
      </c>
      <c r="W536" s="88">
        <v>5119</v>
      </c>
      <c r="X536" s="88">
        <v>5209</v>
      </c>
      <c r="Y536" s="88">
        <v>6443</v>
      </c>
      <c r="Z536" s="88">
        <v>8064</v>
      </c>
      <c r="AA536" s="88">
        <v>16787</v>
      </c>
      <c r="AB536" s="88">
        <v>6526</v>
      </c>
      <c r="AC536" s="88">
        <v>5367</v>
      </c>
      <c r="AD536" s="88">
        <v>3050</v>
      </c>
      <c r="AE536" s="88">
        <v>3050</v>
      </c>
      <c r="AF536" s="88">
        <v>3066</v>
      </c>
      <c r="AG536" s="88">
        <v>3191</v>
      </c>
      <c r="AH536" s="88">
        <v>3066</v>
      </c>
      <c r="AI536" s="88">
        <v>3315</v>
      </c>
      <c r="AJ536" s="88">
        <v>2835</v>
      </c>
      <c r="AK536" s="88">
        <v>3240</v>
      </c>
      <c r="AL536" s="88">
        <v>3207</v>
      </c>
      <c r="AM536" s="88">
        <v>3207</v>
      </c>
    </row>
    <row r="537" ht="20.25" hidden="1" customHeight="1" spans="3:39">
      <c r="C537" s="251"/>
      <c r="D537" s="251"/>
      <c r="E537" s="261"/>
      <c r="F537" s="261"/>
      <c r="G537" s="262"/>
      <c r="H537" s="260" t="s">
        <v>108</v>
      </c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88"/>
      <c r="AL537" s="88"/>
      <c r="AM537" s="88"/>
    </row>
    <row r="538" ht="20.25" hidden="1" customHeight="1" spans="3:39">
      <c r="C538" s="251"/>
      <c r="D538" s="251"/>
      <c r="E538" s="261"/>
      <c r="F538" s="261"/>
      <c r="G538" s="262"/>
      <c r="H538" s="260" t="s">
        <v>109</v>
      </c>
      <c r="I538" s="88" t="e">
        <f>SUM(J538:AM538)</f>
        <v>#REF!</v>
      </c>
      <c r="J538" s="88" t="e">
        <f t="shared" ref="J538:AM538" si="215">J533+J528+J523+J518+J513</f>
        <v>#REF!</v>
      </c>
      <c r="K538" s="88" t="e">
        <f t="shared" si="215"/>
        <v>#REF!</v>
      </c>
      <c r="L538" s="88" t="e">
        <f t="shared" si="215"/>
        <v>#REF!</v>
      </c>
      <c r="M538" s="88" t="e">
        <f t="shared" si="215"/>
        <v>#REF!</v>
      </c>
      <c r="N538" s="88" t="e">
        <f t="shared" si="215"/>
        <v>#REF!</v>
      </c>
      <c r="O538" s="88" t="e">
        <f t="shared" si="215"/>
        <v>#REF!</v>
      </c>
      <c r="P538" s="88" t="e">
        <f t="shared" si="215"/>
        <v>#REF!</v>
      </c>
      <c r="Q538" s="88" t="e">
        <f t="shared" si="215"/>
        <v>#REF!</v>
      </c>
      <c r="R538" s="88" t="e">
        <f t="shared" si="215"/>
        <v>#REF!</v>
      </c>
      <c r="S538" s="88" t="e">
        <f t="shared" si="215"/>
        <v>#REF!</v>
      </c>
      <c r="T538" s="88" t="e">
        <f t="shared" si="215"/>
        <v>#REF!</v>
      </c>
      <c r="U538" s="88" t="e">
        <f t="shared" si="215"/>
        <v>#REF!</v>
      </c>
      <c r="V538" s="88" t="e">
        <f t="shared" si="215"/>
        <v>#REF!</v>
      </c>
      <c r="W538" s="88" t="e">
        <f t="shared" si="215"/>
        <v>#REF!</v>
      </c>
      <c r="X538" s="88" t="e">
        <f t="shared" si="215"/>
        <v>#REF!</v>
      </c>
      <c r="Y538" s="88" t="e">
        <f t="shared" si="215"/>
        <v>#REF!</v>
      </c>
      <c r="Z538" s="88" t="e">
        <f t="shared" si="215"/>
        <v>#REF!</v>
      </c>
      <c r="AA538" s="88" t="e">
        <f t="shared" si="215"/>
        <v>#REF!</v>
      </c>
      <c r="AB538" s="88" t="e">
        <f t="shared" si="215"/>
        <v>#REF!</v>
      </c>
      <c r="AC538" s="88" t="e">
        <f t="shared" si="215"/>
        <v>#REF!</v>
      </c>
      <c r="AD538" s="88" t="e">
        <f t="shared" si="215"/>
        <v>#REF!</v>
      </c>
      <c r="AE538" s="88" t="e">
        <f t="shared" si="215"/>
        <v>#REF!</v>
      </c>
      <c r="AF538" s="88" t="e">
        <f t="shared" si="215"/>
        <v>#REF!</v>
      </c>
      <c r="AG538" s="88" t="e">
        <f t="shared" si="215"/>
        <v>#REF!</v>
      </c>
      <c r="AH538" s="88" t="e">
        <f t="shared" si="215"/>
        <v>#REF!</v>
      </c>
      <c r="AI538" s="88" t="e">
        <f t="shared" si="215"/>
        <v>#REF!</v>
      </c>
      <c r="AJ538" s="88" t="e">
        <f t="shared" si="215"/>
        <v>#REF!</v>
      </c>
      <c r="AK538" s="88" t="e">
        <f t="shared" si="215"/>
        <v>#REF!</v>
      </c>
      <c r="AL538" s="88" t="e">
        <f t="shared" si="215"/>
        <v>#REF!</v>
      </c>
      <c r="AM538" s="88" t="e">
        <f t="shared" si="215"/>
        <v>#REF!</v>
      </c>
    </row>
    <row r="539" ht="20.25" hidden="1" customHeight="1" spans="3:39">
      <c r="C539" s="251"/>
      <c r="D539" s="251"/>
      <c r="E539" s="261"/>
      <c r="F539" s="261"/>
      <c r="G539" s="262"/>
      <c r="H539" s="260" t="s">
        <v>110</v>
      </c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  <c r="AC539" s="88"/>
      <c r="AD539" s="88"/>
      <c r="AE539" s="88"/>
      <c r="AF539" s="88"/>
      <c r="AG539" s="88"/>
      <c r="AH539" s="88"/>
      <c r="AI539" s="88"/>
      <c r="AJ539" s="88"/>
      <c r="AK539" s="88"/>
      <c r="AL539" s="88"/>
      <c r="AM539" s="88"/>
    </row>
    <row r="540" ht="20.25" hidden="1" customHeight="1" spans="3:39">
      <c r="C540" s="251"/>
      <c r="D540" s="251"/>
      <c r="E540" s="261"/>
      <c r="F540" s="261"/>
      <c r="G540" s="262"/>
      <c r="H540" s="260" t="s">
        <v>111</v>
      </c>
      <c r="I540" s="90" t="e">
        <f t="shared" ref="I540:AM540" si="216">I538/I536</f>
        <v>#REF!</v>
      </c>
      <c r="J540" s="90" t="e">
        <f t="shared" si="216"/>
        <v>#REF!</v>
      </c>
      <c r="K540" s="90" t="e">
        <f t="shared" si="216"/>
        <v>#REF!</v>
      </c>
      <c r="L540" s="90" t="e">
        <f t="shared" si="216"/>
        <v>#REF!</v>
      </c>
      <c r="M540" s="90" t="e">
        <f t="shared" si="216"/>
        <v>#REF!</v>
      </c>
      <c r="N540" s="90" t="e">
        <f t="shared" si="216"/>
        <v>#REF!</v>
      </c>
      <c r="O540" s="90" t="e">
        <f t="shared" si="216"/>
        <v>#REF!</v>
      </c>
      <c r="P540" s="90" t="e">
        <f t="shared" si="216"/>
        <v>#REF!</v>
      </c>
      <c r="Q540" s="90" t="e">
        <f t="shared" si="216"/>
        <v>#REF!</v>
      </c>
      <c r="R540" s="90" t="e">
        <f t="shared" si="216"/>
        <v>#REF!</v>
      </c>
      <c r="S540" s="90" t="e">
        <f t="shared" si="216"/>
        <v>#REF!</v>
      </c>
      <c r="T540" s="90" t="e">
        <f t="shared" si="216"/>
        <v>#REF!</v>
      </c>
      <c r="U540" s="90" t="e">
        <f t="shared" si="216"/>
        <v>#REF!</v>
      </c>
      <c r="V540" s="90" t="e">
        <f t="shared" si="216"/>
        <v>#REF!</v>
      </c>
      <c r="W540" s="90" t="e">
        <f t="shared" si="216"/>
        <v>#REF!</v>
      </c>
      <c r="X540" s="90" t="e">
        <f t="shared" si="216"/>
        <v>#REF!</v>
      </c>
      <c r="Y540" s="90" t="e">
        <f t="shared" si="216"/>
        <v>#REF!</v>
      </c>
      <c r="Z540" s="90" t="e">
        <f t="shared" si="216"/>
        <v>#REF!</v>
      </c>
      <c r="AA540" s="90" t="e">
        <f t="shared" si="216"/>
        <v>#REF!</v>
      </c>
      <c r="AB540" s="90" t="e">
        <f t="shared" si="216"/>
        <v>#REF!</v>
      </c>
      <c r="AC540" s="90" t="e">
        <f t="shared" si="216"/>
        <v>#REF!</v>
      </c>
      <c r="AD540" s="90" t="e">
        <f t="shared" si="216"/>
        <v>#REF!</v>
      </c>
      <c r="AE540" s="90" t="e">
        <f t="shared" si="216"/>
        <v>#REF!</v>
      </c>
      <c r="AF540" s="90" t="e">
        <f t="shared" si="216"/>
        <v>#REF!</v>
      </c>
      <c r="AG540" s="90" t="e">
        <f t="shared" si="216"/>
        <v>#REF!</v>
      </c>
      <c r="AH540" s="90" t="e">
        <f t="shared" si="216"/>
        <v>#REF!</v>
      </c>
      <c r="AI540" s="90" t="e">
        <f t="shared" si="216"/>
        <v>#REF!</v>
      </c>
      <c r="AJ540" s="90" t="e">
        <f t="shared" si="216"/>
        <v>#REF!</v>
      </c>
      <c r="AK540" s="90" t="e">
        <f t="shared" si="216"/>
        <v>#REF!</v>
      </c>
      <c r="AL540" s="90" t="e">
        <f t="shared" si="216"/>
        <v>#REF!</v>
      </c>
      <c r="AM540" s="90" t="e">
        <f t="shared" si="216"/>
        <v>#REF!</v>
      </c>
    </row>
    <row r="541" ht="20.25" hidden="1" customHeight="1" spans="3:39">
      <c r="C541" s="251"/>
      <c r="D541" s="257" t="s">
        <v>88</v>
      </c>
      <c r="E541" s="258">
        <f>I566/$I$686</f>
        <v>0.124838593282303</v>
      </c>
      <c r="F541" s="258" t="e">
        <f>I568/$I$688</f>
        <v>#REF!</v>
      </c>
      <c r="G541" s="259" t="s">
        <v>115</v>
      </c>
      <c r="H541" s="260" t="s">
        <v>107</v>
      </c>
      <c r="I541" s="88">
        <v>16503</v>
      </c>
      <c r="J541" s="88">
        <v>660</v>
      </c>
      <c r="K541" s="88">
        <v>634</v>
      </c>
      <c r="L541" s="88">
        <v>634</v>
      </c>
      <c r="M541" s="88">
        <v>496</v>
      </c>
      <c r="N541" s="88">
        <v>458</v>
      </c>
      <c r="O541" s="88">
        <v>414</v>
      </c>
      <c r="P541" s="88">
        <v>447</v>
      </c>
      <c r="Q541" s="88">
        <v>445</v>
      </c>
      <c r="R541" s="88">
        <v>460</v>
      </c>
      <c r="S541" s="88">
        <v>472</v>
      </c>
      <c r="T541" s="88">
        <v>472</v>
      </c>
      <c r="U541" s="88">
        <v>458</v>
      </c>
      <c r="V541" s="88">
        <v>470</v>
      </c>
      <c r="W541" s="88">
        <v>603</v>
      </c>
      <c r="X541" s="88">
        <v>614</v>
      </c>
      <c r="Y541" s="88">
        <v>759</v>
      </c>
      <c r="Z541" s="88">
        <v>950</v>
      </c>
      <c r="AA541" s="88">
        <v>1978</v>
      </c>
      <c r="AB541" s="88">
        <v>769</v>
      </c>
      <c r="AC541" s="88">
        <v>632</v>
      </c>
      <c r="AD541" s="88">
        <v>359</v>
      </c>
      <c r="AE541" s="88">
        <v>359</v>
      </c>
      <c r="AF541" s="88">
        <v>361</v>
      </c>
      <c r="AG541" s="88">
        <v>376</v>
      </c>
      <c r="AH541" s="88">
        <v>361</v>
      </c>
      <c r="AI541" s="88">
        <v>391</v>
      </c>
      <c r="AJ541" s="88">
        <v>334</v>
      </c>
      <c r="AK541" s="88">
        <v>382</v>
      </c>
      <c r="AL541" s="88">
        <v>378</v>
      </c>
      <c r="AM541" s="88">
        <v>378</v>
      </c>
    </row>
    <row r="542" ht="20.25" hidden="1" customHeight="1" spans="3:39">
      <c r="C542" s="251"/>
      <c r="D542" s="251"/>
      <c r="E542" s="261"/>
      <c r="F542" s="261"/>
      <c r="G542" s="262"/>
      <c r="H542" s="260" t="s">
        <v>108</v>
      </c>
      <c r="I542" s="90">
        <v>0.3</v>
      </c>
      <c r="J542" s="90">
        <v>0.3</v>
      </c>
      <c r="K542" s="90">
        <v>0.3</v>
      </c>
      <c r="L542" s="90">
        <v>0.3</v>
      </c>
      <c r="M542" s="90">
        <v>0.3</v>
      </c>
      <c r="N542" s="90">
        <v>0.3</v>
      </c>
      <c r="O542" s="90">
        <v>0.3</v>
      </c>
      <c r="P542" s="90">
        <v>0.3</v>
      </c>
      <c r="Q542" s="90">
        <v>0.3</v>
      </c>
      <c r="R542" s="90">
        <v>0.3</v>
      </c>
      <c r="S542" s="90">
        <v>0.3</v>
      </c>
      <c r="T542" s="90">
        <v>0.3</v>
      </c>
      <c r="U542" s="90">
        <v>0.3</v>
      </c>
      <c r="V542" s="90">
        <v>0.3</v>
      </c>
      <c r="W542" s="90">
        <v>0.3</v>
      </c>
      <c r="X542" s="90">
        <v>0.3</v>
      </c>
      <c r="Y542" s="90">
        <v>0.3</v>
      </c>
      <c r="Z542" s="90">
        <v>0.3</v>
      </c>
      <c r="AA542" s="90">
        <v>0.3</v>
      </c>
      <c r="AB542" s="90">
        <v>0.3</v>
      </c>
      <c r="AC542" s="90">
        <v>0.3</v>
      </c>
      <c r="AD542" s="90">
        <v>0.3</v>
      </c>
      <c r="AE542" s="90">
        <v>0.3</v>
      </c>
      <c r="AF542" s="90">
        <v>0.3</v>
      </c>
      <c r="AG542" s="90">
        <v>0.3</v>
      </c>
      <c r="AH542" s="90">
        <v>0.3</v>
      </c>
      <c r="AI542" s="90">
        <v>0.3</v>
      </c>
      <c r="AJ542" s="90">
        <v>0.3</v>
      </c>
      <c r="AK542" s="90">
        <v>0.3</v>
      </c>
      <c r="AL542" s="90">
        <v>0.3</v>
      </c>
      <c r="AM542" s="90">
        <v>0.3</v>
      </c>
    </row>
    <row r="543" ht="20.25" hidden="1" customHeight="1" spans="3:39">
      <c r="C543" s="251"/>
      <c r="D543" s="251"/>
      <c r="E543" s="261"/>
      <c r="F543" s="261"/>
      <c r="G543" s="262"/>
      <c r="H543" s="260" t="s">
        <v>109</v>
      </c>
      <c r="I543" s="88" t="e">
        <f>SUM(J543:AM543)</f>
        <v>#REF!</v>
      </c>
      <c r="J543" s="88" t="e">
        <f>SUMIFS(#REF!,#REF!,$D$541,#REF!,$G541,#REF!,J$480)</f>
        <v>#REF!</v>
      </c>
      <c r="K543" s="88" t="e">
        <f>SUMIFS(#REF!,#REF!,$D$541,#REF!,$G541,#REF!,K$480)</f>
        <v>#REF!</v>
      </c>
      <c r="L543" s="88" t="e">
        <f>SUMIFS(#REF!,#REF!,$D$541,#REF!,$G541,#REF!,L$480)</f>
        <v>#REF!</v>
      </c>
      <c r="M543" s="88" t="e">
        <f>SUMIFS(#REF!,#REF!,$D$541,#REF!,$G541,#REF!,M$480)</f>
        <v>#REF!</v>
      </c>
      <c r="N543" s="88" t="e">
        <f>SUMIFS(#REF!,#REF!,$D$541,#REF!,$G541,#REF!,N$480)</f>
        <v>#REF!</v>
      </c>
      <c r="O543" s="88" t="e">
        <f>SUMIFS(#REF!,#REF!,$D$541,#REF!,$G541,#REF!,O$480)</f>
        <v>#REF!</v>
      </c>
      <c r="P543" s="88" t="e">
        <f>SUMIFS(#REF!,#REF!,$D$541,#REF!,$G541,#REF!,P$480)</f>
        <v>#REF!</v>
      </c>
      <c r="Q543" s="88" t="e">
        <f>SUMIFS(#REF!,#REF!,$D$541,#REF!,$G541,#REF!,Q$480)</f>
        <v>#REF!</v>
      </c>
      <c r="R543" s="88" t="e">
        <f>SUMIFS(#REF!,#REF!,$D$541,#REF!,$G541,#REF!,R$480)</f>
        <v>#REF!</v>
      </c>
      <c r="S543" s="88" t="e">
        <f>SUMIFS(#REF!,#REF!,$D$541,#REF!,$G541,#REF!,S$480)</f>
        <v>#REF!</v>
      </c>
      <c r="T543" s="88" t="e">
        <f>SUMIFS(#REF!,#REF!,$D$541,#REF!,$G541,#REF!,T$480)</f>
        <v>#REF!</v>
      </c>
      <c r="U543" s="88" t="e">
        <f>SUMIFS(#REF!,#REF!,$D$541,#REF!,$G541,#REF!,U$480)</f>
        <v>#REF!</v>
      </c>
      <c r="V543" s="88" t="e">
        <f>SUMIFS(#REF!,#REF!,$D$541,#REF!,$G541,#REF!,V$480)</f>
        <v>#REF!</v>
      </c>
      <c r="W543" s="88" t="e">
        <f>SUMIFS(#REF!,#REF!,$D$541,#REF!,$G541,#REF!,W$480)</f>
        <v>#REF!</v>
      </c>
      <c r="X543" s="88" t="e">
        <f>SUMIFS(#REF!,#REF!,$D$541,#REF!,$G541,#REF!,X$480)</f>
        <v>#REF!</v>
      </c>
      <c r="Y543" s="88" t="e">
        <f>SUMIFS(#REF!,#REF!,$D$541,#REF!,$G541,#REF!,Y$480)</f>
        <v>#REF!</v>
      </c>
      <c r="Z543" s="88" t="e">
        <f>SUMIFS(#REF!,#REF!,$D$541,#REF!,$G541,#REF!,Z$480)</f>
        <v>#REF!</v>
      </c>
      <c r="AA543" s="88" t="e">
        <f>SUMIFS(#REF!,#REF!,$D$541,#REF!,$G541,#REF!,AA$480)</f>
        <v>#REF!</v>
      </c>
      <c r="AB543" s="88" t="e">
        <f>SUMIFS(#REF!,#REF!,$D$541,#REF!,$G541,#REF!,AB$480)</f>
        <v>#REF!</v>
      </c>
      <c r="AC543" s="88" t="e">
        <f>SUMIFS(#REF!,#REF!,$D$541,#REF!,$G541,#REF!,AC$480)</f>
        <v>#REF!</v>
      </c>
      <c r="AD543" s="88" t="e">
        <f>SUMIFS(#REF!,#REF!,$D$541,#REF!,$G541,#REF!,AD$480)</f>
        <v>#REF!</v>
      </c>
      <c r="AE543" s="88" t="e">
        <f>SUMIFS(#REF!,#REF!,$D$541,#REF!,$G541,#REF!,AE$480)</f>
        <v>#REF!</v>
      </c>
      <c r="AF543" s="88" t="e">
        <f>SUMIFS(#REF!,#REF!,$D$541,#REF!,$G541,#REF!,AF$480)</f>
        <v>#REF!</v>
      </c>
      <c r="AG543" s="88" t="e">
        <f>SUMIFS(#REF!,#REF!,$D$541,#REF!,$G541,#REF!,AG$480)</f>
        <v>#REF!</v>
      </c>
      <c r="AH543" s="88" t="e">
        <f>SUMIFS(#REF!,#REF!,$D$541,#REF!,$G541,#REF!,AH$480)</f>
        <v>#REF!</v>
      </c>
      <c r="AI543" s="88" t="e">
        <f>SUMIFS(#REF!,#REF!,$D$541,#REF!,$G541,#REF!,AI$480)</f>
        <v>#REF!</v>
      </c>
      <c r="AJ543" s="88" t="e">
        <f>SUMIFS(#REF!,#REF!,$D$541,#REF!,$G541,#REF!,AJ$480)</f>
        <v>#REF!</v>
      </c>
      <c r="AK543" s="88" t="e">
        <f>SUMIFS(#REF!,#REF!,$D$541,#REF!,$G541,#REF!,AK$480)</f>
        <v>#REF!</v>
      </c>
      <c r="AL543" s="88" t="e">
        <f>SUMIFS(#REF!,#REF!,$D$541,#REF!,$G541,#REF!,AL$480)</f>
        <v>#REF!</v>
      </c>
      <c r="AM543" s="88" t="e">
        <f>SUMIFS(#REF!,#REF!,$D$541,#REF!,$G541,#REF!,AM$480)</f>
        <v>#REF!</v>
      </c>
    </row>
    <row r="544" ht="20.25" hidden="1" customHeight="1" spans="3:39">
      <c r="C544" s="251"/>
      <c r="D544" s="251"/>
      <c r="E544" s="261"/>
      <c r="F544" s="261"/>
      <c r="G544" s="262"/>
      <c r="H544" s="260" t="s">
        <v>110</v>
      </c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</row>
    <row r="545" ht="20.25" hidden="1" customHeight="1" spans="3:39">
      <c r="C545" s="251"/>
      <c r="D545" s="251"/>
      <c r="E545" s="261"/>
      <c r="F545" s="261"/>
      <c r="G545" s="262"/>
      <c r="H545" s="260" t="s">
        <v>111</v>
      </c>
      <c r="I545" s="90" t="e">
        <f t="shared" ref="I545:AM545" si="217">I543/I541</f>
        <v>#REF!</v>
      </c>
      <c r="J545" s="90" t="e">
        <f t="shared" si="217"/>
        <v>#REF!</v>
      </c>
      <c r="K545" s="90" t="e">
        <f t="shared" si="217"/>
        <v>#REF!</v>
      </c>
      <c r="L545" s="90" t="e">
        <f t="shared" si="217"/>
        <v>#REF!</v>
      </c>
      <c r="M545" s="90" t="e">
        <f t="shared" si="217"/>
        <v>#REF!</v>
      </c>
      <c r="N545" s="90" t="e">
        <f t="shared" si="217"/>
        <v>#REF!</v>
      </c>
      <c r="O545" s="90" t="e">
        <f t="shared" si="217"/>
        <v>#REF!</v>
      </c>
      <c r="P545" s="90" t="e">
        <f t="shared" si="217"/>
        <v>#REF!</v>
      </c>
      <c r="Q545" s="90" t="e">
        <f t="shared" si="217"/>
        <v>#REF!</v>
      </c>
      <c r="R545" s="90" t="e">
        <f t="shared" si="217"/>
        <v>#REF!</v>
      </c>
      <c r="S545" s="90" t="e">
        <f t="shared" si="217"/>
        <v>#REF!</v>
      </c>
      <c r="T545" s="90" t="e">
        <f t="shared" si="217"/>
        <v>#REF!</v>
      </c>
      <c r="U545" s="90" t="e">
        <f t="shared" si="217"/>
        <v>#REF!</v>
      </c>
      <c r="V545" s="90" t="e">
        <f t="shared" si="217"/>
        <v>#REF!</v>
      </c>
      <c r="W545" s="90" t="e">
        <f t="shared" si="217"/>
        <v>#REF!</v>
      </c>
      <c r="X545" s="90" t="e">
        <f t="shared" si="217"/>
        <v>#REF!</v>
      </c>
      <c r="Y545" s="90" t="e">
        <f t="shared" si="217"/>
        <v>#REF!</v>
      </c>
      <c r="Z545" s="90" t="e">
        <f t="shared" si="217"/>
        <v>#REF!</v>
      </c>
      <c r="AA545" s="90" t="e">
        <f t="shared" si="217"/>
        <v>#REF!</v>
      </c>
      <c r="AB545" s="90" t="e">
        <f t="shared" si="217"/>
        <v>#REF!</v>
      </c>
      <c r="AC545" s="90" t="e">
        <f t="shared" si="217"/>
        <v>#REF!</v>
      </c>
      <c r="AD545" s="90" t="e">
        <f t="shared" si="217"/>
        <v>#REF!</v>
      </c>
      <c r="AE545" s="90" t="e">
        <f t="shared" si="217"/>
        <v>#REF!</v>
      </c>
      <c r="AF545" s="90" t="e">
        <f t="shared" si="217"/>
        <v>#REF!</v>
      </c>
      <c r="AG545" s="90" t="e">
        <f t="shared" si="217"/>
        <v>#REF!</v>
      </c>
      <c r="AH545" s="90" t="e">
        <f t="shared" si="217"/>
        <v>#REF!</v>
      </c>
      <c r="AI545" s="90" t="e">
        <f t="shared" si="217"/>
        <v>#REF!</v>
      </c>
      <c r="AJ545" s="90" t="e">
        <f t="shared" si="217"/>
        <v>#REF!</v>
      </c>
      <c r="AK545" s="90" t="e">
        <f t="shared" si="217"/>
        <v>#REF!</v>
      </c>
      <c r="AL545" s="90" t="e">
        <f t="shared" si="217"/>
        <v>#REF!</v>
      </c>
      <c r="AM545" s="90" t="e">
        <f t="shared" si="217"/>
        <v>#REF!</v>
      </c>
    </row>
    <row r="546" ht="20.25" hidden="1" customHeight="1" spans="3:39">
      <c r="C546" s="251"/>
      <c r="D546" s="251"/>
      <c r="E546" s="261"/>
      <c r="F546" s="261"/>
      <c r="G546" s="259" t="s">
        <v>116</v>
      </c>
      <c r="H546" s="264" t="s">
        <v>107</v>
      </c>
      <c r="I546" s="88">
        <v>22004</v>
      </c>
      <c r="J546" s="88">
        <v>880</v>
      </c>
      <c r="K546" s="88">
        <v>846</v>
      </c>
      <c r="L546" s="88">
        <v>846</v>
      </c>
      <c r="M546" s="88">
        <v>661</v>
      </c>
      <c r="N546" s="88">
        <v>610</v>
      </c>
      <c r="O546" s="88">
        <v>552</v>
      </c>
      <c r="P546" s="88">
        <v>596</v>
      </c>
      <c r="Q546" s="88">
        <v>594</v>
      </c>
      <c r="R546" s="88">
        <v>613</v>
      </c>
      <c r="S546" s="88">
        <v>630</v>
      </c>
      <c r="T546" s="88">
        <v>630</v>
      </c>
      <c r="U546" s="88">
        <v>610</v>
      </c>
      <c r="V546" s="88">
        <v>627</v>
      </c>
      <c r="W546" s="88">
        <v>804</v>
      </c>
      <c r="X546" s="88">
        <v>818</v>
      </c>
      <c r="Y546" s="88">
        <v>1012</v>
      </c>
      <c r="Z546" s="88">
        <v>1267</v>
      </c>
      <c r="AA546" s="88">
        <v>2637</v>
      </c>
      <c r="AB546" s="88">
        <v>1025</v>
      </c>
      <c r="AC546" s="88">
        <v>843</v>
      </c>
      <c r="AD546" s="88">
        <v>479</v>
      </c>
      <c r="AE546" s="88">
        <v>479</v>
      </c>
      <c r="AF546" s="88">
        <v>482</v>
      </c>
      <c r="AG546" s="88">
        <v>501</v>
      </c>
      <c r="AH546" s="88">
        <v>482</v>
      </c>
      <c r="AI546" s="88">
        <v>521</v>
      </c>
      <c r="AJ546" s="88">
        <v>445</v>
      </c>
      <c r="AK546" s="88">
        <v>509</v>
      </c>
      <c r="AL546" s="88">
        <v>504</v>
      </c>
      <c r="AM546" s="88">
        <v>504</v>
      </c>
    </row>
    <row r="547" ht="20.25" hidden="1" customHeight="1" spans="3:39">
      <c r="C547" s="251"/>
      <c r="D547" s="251"/>
      <c r="E547" s="261"/>
      <c r="F547" s="261"/>
      <c r="G547" s="262"/>
      <c r="H547" s="264" t="s">
        <v>108</v>
      </c>
      <c r="I547" s="90">
        <v>0.4</v>
      </c>
      <c r="J547" s="90">
        <v>0.4</v>
      </c>
      <c r="K547" s="90">
        <v>0.4</v>
      </c>
      <c r="L547" s="90">
        <v>0.4</v>
      </c>
      <c r="M547" s="90">
        <v>0.4</v>
      </c>
      <c r="N547" s="90">
        <v>0.4</v>
      </c>
      <c r="O547" s="90">
        <v>0.4</v>
      </c>
      <c r="P547" s="90">
        <v>0.4</v>
      </c>
      <c r="Q547" s="90">
        <v>0.4</v>
      </c>
      <c r="R547" s="90">
        <v>0.4</v>
      </c>
      <c r="S547" s="90">
        <v>0.4</v>
      </c>
      <c r="T547" s="90">
        <v>0.4</v>
      </c>
      <c r="U547" s="90">
        <v>0.4</v>
      </c>
      <c r="V547" s="90">
        <v>0.4</v>
      </c>
      <c r="W547" s="90">
        <v>0.4</v>
      </c>
      <c r="X547" s="90">
        <v>0.4</v>
      </c>
      <c r="Y547" s="90">
        <v>0.4</v>
      </c>
      <c r="Z547" s="90">
        <v>0.4</v>
      </c>
      <c r="AA547" s="90">
        <v>0.4</v>
      </c>
      <c r="AB547" s="90">
        <v>0.4</v>
      </c>
      <c r="AC547" s="90">
        <v>0.4</v>
      </c>
      <c r="AD547" s="90">
        <v>0.4</v>
      </c>
      <c r="AE547" s="90">
        <v>0.4</v>
      </c>
      <c r="AF547" s="90">
        <v>0.4</v>
      </c>
      <c r="AG547" s="90">
        <v>0.4</v>
      </c>
      <c r="AH547" s="90">
        <v>0.4</v>
      </c>
      <c r="AI547" s="90">
        <v>0.4</v>
      </c>
      <c r="AJ547" s="90">
        <v>0.4</v>
      </c>
      <c r="AK547" s="90">
        <v>0.4</v>
      </c>
      <c r="AL547" s="90">
        <v>0.4</v>
      </c>
      <c r="AM547" s="90">
        <v>0.4</v>
      </c>
    </row>
    <row r="548" ht="20.25" hidden="1" customHeight="1" spans="3:39">
      <c r="C548" s="251"/>
      <c r="D548" s="251"/>
      <c r="E548" s="261"/>
      <c r="F548" s="261"/>
      <c r="G548" s="262"/>
      <c r="H548" s="264" t="s">
        <v>109</v>
      </c>
      <c r="I548" s="88" t="e">
        <f>SUM(J548:AM548)</f>
        <v>#REF!</v>
      </c>
      <c r="J548" s="88" t="e">
        <f>SUMIFS(#REF!,#REF!,$D$541,#REF!,$G546,#REF!,J$480)</f>
        <v>#REF!</v>
      </c>
      <c r="K548" s="88" t="e">
        <f>SUMIFS(#REF!,#REF!,$D$541,#REF!,$G546,#REF!,K$480)</f>
        <v>#REF!</v>
      </c>
      <c r="L548" s="88" t="e">
        <f>SUMIFS(#REF!,#REF!,$D$541,#REF!,$G546,#REF!,L$480)</f>
        <v>#REF!</v>
      </c>
      <c r="M548" s="88" t="e">
        <f>SUMIFS(#REF!,#REF!,$D$541,#REF!,$G546,#REF!,M$480)</f>
        <v>#REF!</v>
      </c>
      <c r="N548" s="88" t="e">
        <f>SUMIFS(#REF!,#REF!,$D$541,#REF!,$G546,#REF!,N$480)</f>
        <v>#REF!</v>
      </c>
      <c r="O548" s="88" t="e">
        <f>SUMIFS(#REF!,#REF!,$D$541,#REF!,$G546,#REF!,O$480)</f>
        <v>#REF!</v>
      </c>
      <c r="P548" s="88" t="e">
        <f>SUMIFS(#REF!,#REF!,$D$541,#REF!,$G546,#REF!,P$480)</f>
        <v>#REF!</v>
      </c>
      <c r="Q548" s="88" t="e">
        <f>SUMIFS(#REF!,#REF!,$D$541,#REF!,$G546,#REF!,Q$480)</f>
        <v>#REF!</v>
      </c>
      <c r="R548" s="88" t="e">
        <f>SUMIFS(#REF!,#REF!,$D$541,#REF!,$G546,#REF!,R$480)</f>
        <v>#REF!</v>
      </c>
      <c r="S548" s="88" t="e">
        <f>SUMIFS(#REF!,#REF!,$D$541,#REF!,$G546,#REF!,S$480)</f>
        <v>#REF!</v>
      </c>
      <c r="T548" s="88" t="e">
        <f>SUMIFS(#REF!,#REF!,$D$541,#REF!,$G546,#REF!,T$480)</f>
        <v>#REF!</v>
      </c>
      <c r="U548" s="88" t="e">
        <f>SUMIFS(#REF!,#REF!,$D$541,#REF!,$G546,#REF!,U$480)</f>
        <v>#REF!</v>
      </c>
      <c r="V548" s="88" t="e">
        <f>SUMIFS(#REF!,#REF!,$D$541,#REF!,$G546,#REF!,V$480)</f>
        <v>#REF!</v>
      </c>
      <c r="W548" s="88" t="e">
        <f>SUMIFS(#REF!,#REF!,$D$541,#REF!,$G546,#REF!,W$480)</f>
        <v>#REF!</v>
      </c>
      <c r="X548" s="88" t="e">
        <f>SUMIFS(#REF!,#REF!,$D$541,#REF!,$G546,#REF!,X$480)</f>
        <v>#REF!</v>
      </c>
      <c r="Y548" s="88" t="e">
        <f>SUMIFS(#REF!,#REF!,$D$541,#REF!,$G546,#REF!,Y$480)</f>
        <v>#REF!</v>
      </c>
      <c r="Z548" s="88" t="e">
        <f>SUMIFS(#REF!,#REF!,$D$541,#REF!,$G546,#REF!,Z$480)</f>
        <v>#REF!</v>
      </c>
      <c r="AA548" s="88" t="e">
        <f>SUMIFS(#REF!,#REF!,$D$541,#REF!,$G546,#REF!,AA$480)</f>
        <v>#REF!</v>
      </c>
      <c r="AB548" s="88" t="e">
        <f>SUMIFS(#REF!,#REF!,$D$541,#REF!,$G546,#REF!,AB$480)</f>
        <v>#REF!</v>
      </c>
      <c r="AC548" s="88" t="e">
        <f>SUMIFS(#REF!,#REF!,$D$541,#REF!,$G546,#REF!,AC$480)</f>
        <v>#REF!</v>
      </c>
      <c r="AD548" s="88" t="e">
        <f>SUMIFS(#REF!,#REF!,$D$541,#REF!,$G546,#REF!,AD$480)</f>
        <v>#REF!</v>
      </c>
      <c r="AE548" s="88" t="e">
        <f>SUMIFS(#REF!,#REF!,$D$541,#REF!,$G546,#REF!,AE$480)</f>
        <v>#REF!</v>
      </c>
      <c r="AF548" s="88" t="e">
        <f>SUMIFS(#REF!,#REF!,$D$541,#REF!,$G546,#REF!,AF$480)</f>
        <v>#REF!</v>
      </c>
      <c r="AG548" s="88" t="e">
        <f>SUMIFS(#REF!,#REF!,$D$541,#REF!,$G546,#REF!,AG$480)</f>
        <v>#REF!</v>
      </c>
      <c r="AH548" s="88" t="e">
        <f>SUMIFS(#REF!,#REF!,$D$541,#REF!,$G546,#REF!,AH$480)</f>
        <v>#REF!</v>
      </c>
      <c r="AI548" s="88" t="e">
        <f>SUMIFS(#REF!,#REF!,$D$541,#REF!,$G546,#REF!,AI$480)</f>
        <v>#REF!</v>
      </c>
      <c r="AJ548" s="88" t="e">
        <f>SUMIFS(#REF!,#REF!,$D$541,#REF!,$G546,#REF!,AJ$480)</f>
        <v>#REF!</v>
      </c>
      <c r="AK548" s="88" t="e">
        <f>SUMIFS(#REF!,#REF!,$D$541,#REF!,$G546,#REF!,AK$480)</f>
        <v>#REF!</v>
      </c>
      <c r="AL548" s="88" t="e">
        <f>SUMIFS(#REF!,#REF!,$D$541,#REF!,$G546,#REF!,AL$480)</f>
        <v>#REF!</v>
      </c>
      <c r="AM548" s="88" t="e">
        <f>SUMIFS(#REF!,#REF!,$D$541,#REF!,$G546,#REF!,AM$480)</f>
        <v>#REF!</v>
      </c>
    </row>
    <row r="549" ht="20.25" hidden="1" customHeight="1" spans="3:39">
      <c r="C549" s="251"/>
      <c r="D549" s="251"/>
      <c r="E549" s="261"/>
      <c r="F549" s="261"/>
      <c r="G549" s="262"/>
      <c r="H549" s="264" t="s">
        <v>110</v>
      </c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</row>
    <row r="550" ht="20.25" hidden="1" customHeight="1" spans="3:39">
      <c r="C550" s="251"/>
      <c r="D550" s="251"/>
      <c r="E550" s="261"/>
      <c r="F550" s="261"/>
      <c r="G550" s="262"/>
      <c r="H550" s="264" t="s">
        <v>111</v>
      </c>
      <c r="I550" s="90" t="e">
        <f t="shared" ref="I550:AM550" si="218">I548/I546</f>
        <v>#REF!</v>
      </c>
      <c r="J550" s="90" t="e">
        <f t="shared" si="218"/>
        <v>#REF!</v>
      </c>
      <c r="K550" s="90" t="e">
        <f t="shared" si="218"/>
        <v>#REF!</v>
      </c>
      <c r="L550" s="90" t="e">
        <f t="shared" si="218"/>
        <v>#REF!</v>
      </c>
      <c r="M550" s="90" t="e">
        <f t="shared" si="218"/>
        <v>#REF!</v>
      </c>
      <c r="N550" s="90" t="e">
        <f t="shared" si="218"/>
        <v>#REF!</v>
      </c>
      <c r="O550" s="90" t="e">
        <f t="shared" si="218"/>
        <v>#REF!</v>
      </c>
      <c r="P550" s="90" t="e">
        <f t="shared" si="218"/>
        <v>#REF!</v>
      </c>
      <c r="Q550" s="90" t="e">
        <f t="shared" si="218"/>
        <v>#REF!</v>
      </c>
      <c r="R550" s="90" t="e">
        <f t="shared" si="218"/>
        <v>#REF!</v>
      </c>
      <c r="S550" s="90" t="e">
        <f t="shared" si="218"/>
        <v>#REF!</v>
      </c>
      <c r="T550" s="90" t="e">
        <f t="shared" si="218"/>
        <v>#REF!</v>
      </c>
      <c r="U550" s="90" t="e">
        <f t="shared" si="218"/>
        <v>#REF!</v>
      </c>
      <c r="V550" s="90" t="e">
        <f t="shared" si="218"/>
        <v>#REF!</v>
      </c>
      <c r="W550" s="90" t="e">
        <f t="shared" si="218"/>
        <v>#REF!</v>
      </c>
      <c r="X550" s="90" t="e">
        <f t="shared" si="218"/>
        <v>#REF!</v>
      </c>
      <c r="Y550" s="90" t="e">
        <f t="shared" si="218"/>
        <v>#REF!</v>
      </c>
      <c r="Z550" s="90" t="e">
        <f t="shared" si="218"/>
        <v>#REF!</v>
      </c>
      <c r="AA550" s="90" t="e">
        <f t="shared" si="218"/>
        <v>#REF!</v>
      </c>
      <c r="AB550" s="90" t="e">
        <f t="shared" si="218"/>
        <v>#REF!</v>
      </c>
      <c r="AC550" s="90" t="e">
        <f t="shared" si="218"/>
        <v>#REF!</v>
      </c>
      <c r="AD550" s="90" t="e">
        <f t="shared" si="218"/>
        <v>#REF!</v>
      </c>
      <c r="AE550" s="90" t="e">
        <f t="shared" si="218"/>
        <v>#REF!</v>
      </c>
      <c r="AF550" s="90" t="e">
        <f t="shared" si="218"/>
        <v>#REF!</v>
      </c>
      <c r="AG550" s="90" t="e">
        <f t="shared" si="218"/>
        <v>#REF!</v>
      </c>
      <c r="AH550" s="90" t="e">
        <f t="shared" si="218"/>
        <v>#REF!</v>
      </c>
      <c r="AI550" s="90" t="e">
        <f t="shared" si="218"/>
        <v>#REF!</v>
      </c>
      <c r="AJ550" s="90" t="e">
        <f t="shared" si="218"/>
        <v>#REF!</v>
      </c>
      <c r="AK550" s="90" t="e">
        <f t="shared" si="218"/>
        <v>#REF!</v>
      </c>
      <c r="AL550" s="90" t="e">
        <f t="shared" si="218"/>
        <v>#REF!</v>
      </c>
      <c r="AM550" s="90" t="e">
        <f t="shared" si="218"/>
        <v>#REF!</v>
      </c>
    </row>
    <row r="551" ht="20.25" hidden="1" customHeight="1" spans="3:39">
      <c r="C551" s="251"/>
      <c r="D551" s="251"/>
      <c r="E551" s="261"/>
      <c r="F551" s="261"/>
      <c r="G551" s="259" t="s">
        <v>117</v>
      </c>
      <c r="H551" s="264" t="s">
        <v>107</v>
      </c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</row>
    <row r="552" ht="20.25" hidden="1" customHeight="1" spans="3:39">
      <c r="C552" s="251"/>
      <c r="D552" s="251"/>
      <c r="E552" s="261"/>
      <c r="F552" s="261"/>
      <c r="G552" s="262"/>
      <c r="H552" s="264" t="s">
        <v>108</v>
      </c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</row>
    <row r="553" ht="20.25" hidden="1" customHeight="1" spans="3:39">
      <c r="C553" s="251"/>
      <c r="D553" s="251"/>
      <c r="E553" s="261"/>
      <c r="F553" s="261"/>
      <c r="G553" s="262"/>
      <c r="H553" s="264" t="s">
        <v>109</v>
      </c>
      <c r="I553" s="88" t="e">
        <f>SUM(J553:AM553)</f>
        <v>#REF!</v>
      </c>
      <c r="J553" s="88" t="e">
        <f>SUMIFS(#REF!,#REF!,$D$541,#REF!,$G551,#REF!,J$480)</f>
        <v>#REF!</v>
      </c>
      <c r="K553" s="88" t="e">
        <f>SUMIFS(#REF!,#REF!,$D$541,#REF!,$G551,#REF!,K$480)</f>
        <v>#REF!</v>
      </c>
      <c r="L553" s="88" t="e">
        <f>SUMIFS(#REF!,#REF!,$D$541,#REF!,$G551,#REF!,L$480)</f>
        <v>#REF!</v>
      </c>
      <c r="M553" s="88" t="e">
        <f>SUMIFS(#REF!,#REF!,$D$541,#REF!,$G551,#REF!,M$480)</f>
        <v>#REF!</v>
      </c>
      <c r="N553" s="88" t="e">
        <f>SUMIFS(#REF!,#REF!,$D$541,#REF!,$G551,#REF!,N$480)</f>
        <v>#REF!</v>
      </c>
      <c r="O553" s="88" t="e">
        <f>SUMIFS(#REF!,#REF!,$D$541,#REF!,$G551,#REF!,O$480)</f>
        <v>#REF!</v>
      </c>
      <c r="P553" s="88" t="e">
        <f>SUMIFS(#REF!,#REF!,$D$541,#REF!,$G551,#REF!,P$480)</f>
        <v>#REF!</v>
      </c>
      <c r="Q553" s="88" t="e">
        <f>SUMIFS(#REF!,#REF!,$D$541,#REF!,$G551,#REF!,Q$480)</f>
        <v>#REF!</v>
      </c>
      <c r="R553" s="88" t="e">
        <f>SUMIFS(#REF!,#REF!,$D$541,#REF!,$G551,#REF!,R$480)</f>
        <v>#REF!</v>
      </c>
      <c r="S553" s="88" t="e">
        <f>SUMIFS(#REF!,#REF!,$D$541,#REF!,$G551,#REF!,S$480)</f>
        <v>#REF!</v>
      </c>
      <c r="T553" s="88" t="e">
        <f>SUMIFS(#REF!,#REF!,$D$541,#REF!,$G551,#REF!,T$480)</f>
        <v>#REF!</v>
      </c>
      <c r="U553" s="88" t="e">
        <f>SUMIFS(#REF!,#REF!,$D$541,#REF!,$G551,#REF!,U$480)</f>
        <v>#REF!</v>
      </c>
      <c r="V553" s="88" t="e">
        <f>SUMIFS(#REF!,#REF!,$D$541,#REF!,$G551,#REF!,V$480)</f>
        <v>#REF!</v>
      </c>
      <c r="W553" s="88" t="e">
        <f>SUMIFS(#REF!,#REF!,$D$541,#REF!,$G551,#REF!,W$480)</f>
        <v>#REF!</v>
      </c>
      <c r="X553" s="88" t="e">
        <f>SUMIFS(#REF!,#REF!,$D$541,#REF!,$G551,#REF!,X$480)</f>
        <v>#REF!</v>
      </c>
      <c r="Y553" s="88" t="e">
        <f>SUMIFS(#REF!,#REF!,$D$541,#REF!,$G551,#REF!,Y$480)</f>
        <v>#REF!</v>
      </c>
      <c r="Z553" s="88" t="e">
        <f>SUMIFS(#REF!,#REF!,$D$541,#REF!,$G551,#REF!,Z$480)</f>
        <v>#REF!</v>
      </c>
      <c r="AA553" s="88" t="e">
        <f>SUMIFS(#REF!,#REF!,$D$541,#REF!,$G551,#REF!,AA$480)</f>
        <v>#REF!</v>
      </c>
      <c r="AB553" s="88" t="e">
        <f>SUMIFS(#REF!,#REF!,$D$541,#REF!,$G551,#REF!,AB$480)</f>
        <v>#REF!</v>
      </c>
      <c r="AC553" s="88" t="e">
        <f>SUMIFS(#REF!,#REF!,$D$541,#REF!,$G551,#REF!,AC$480)</f>
        <v>#REF!</v>
      </c>
      <c r="AD553" s="88" t="e">
        <f>SUMIFS(#REF!,#REF!,$D$541,#REF!,$G551,#REF!,AD$480)</f>
        <v>#REF!</v>
      </c>
      <c r="AE553" s="88" t="e">
        <f>SUMIFS(#REF!,#REF!,$D$541,#REF!,$G551,#REF!,AE$480)</f>
        <v>#REF!</v>
      </c>
      <c r="AF553" s="88" t="e">
        <f>SUMIFS(#REF!,#REF!,$D$541,#REF!,$G551,#REF!,AF$480)</f>
        <v>#REF!</v>
      </c>
      <c r="AG553" s="88" t="e">
        <f>SUMIFS(#REF!,#REF!,$D$541,#REF!,$G551,#REF!,AG$480)</f>
        <v>#REF!</v>
      </c>
      <c r="AH553" s="88" t="e">
        <f>SUMIFS(#REF!,#REF!,$D$541,#REF!,$G551,#REF!,AH$480)</f>
        <v>#REF!</v>
      </c>
      <c r="AI553" s="88" t="e">
        <f>SUMIFS(#REF!,#REF!,$D$541,#REF!,$G551,#REF!,AI$480)</f>
        <v>#REF!</v>
      </c>
      <c r="AJ553" s="88" t="e">
        <f>SUMIFS(#REF!,#REF!,$D$541,#REF!,$G551,#REF!,AJ$480)</f>
        <v>#REF!</v>
      </c>
      <c r="AK553" s="88" t="e">
        <f>SUMIFS(#REF!,#REF!,$D$541,#REF!,$G551,#REF!,AK$480)</f>
        <v>#REF!</v>
      </c>
      <c r="AL553" s="88" t="e">
        <f>SUMIFS(#REF!,#REF!,$D$541,#REF!,$G551,#REF!,AL$480)</f>
        <v>#REF!</v>
      </c>
      <c r="AM553" s="88" t="e">
        <f>SUMIFS(#REF!,#REF!,$D$541,#REF!,$G551,#REF!,AM$480)</f>
        <v>#REF!</v>
      </c>
    </row>
    <row r="554" ht="20.25" hidden="1" customHeight="1" spans="3:39">
      <c r="C554" s="251"/>
      <c r="D554" s="251"/>
      <c r="E554" s="261"/>
      <c r="F554" s="261"/>
      <c r="G554" s="262"/>
      <c r="H554" s="264" t="s">
        <v>110</v>
      </c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</row>
    <row r="555" ht="20.25" hidden="1" customHeight="1" spans="3:39">
      <c r="C555" s="251"/>
      <c r="D555" s="251"/>
      <c r="E555" s="261"/>
      <c r="F555" s="261"/>
      <c r="G555" s="262"/>
      <c r="H555" s="264" t="s">
        <v>111</v>
      </c>
      <c r="I555" s="90" t="e">
        <f t="shared" ref="I555:AM555" si="219">I553/I551</f>
        <v>#REF!</v>
      </c>
      <c r="J555" s="90" t="e">
        <f t="shared" si="219"/>
        <v>#REF!</v>
      </c>
      <c r="K555" s="90" t="e">
        <f t="shared" si="219"/>
        <v>#REF!</v>
      </c>
      <c r="L555" s="90" t="e">
        <f t="shared" si="219"/>
        <v>#REF!</v>
      </c>
      <c r="M555" s="90" t="e">
        <f t="shared" si="219"/>
        <v>#REF!</v>
      </c>
      <c r="N555" s="90" t="e">
        <f t="shared" si="219"/>
        <v>#REF!</v>
      </c>
      <c r="O555" s="90" t="e">
        <f t="shared" si="219"/>
        <v>#REF!</v>
      </c>
      <c r="P555" s="90" t="e">
        <f t="shared" si="219"/>
        <v>#REF!</v>
      </c>
      <c r="Q555" s="90" t="e">
        <f t="shared" si="219"/>
        <v>#REF!</v>
      </c>
      <c r="R555" s="90" t="e">
        <f t="shared" si="219"/>
        <v>#REF!</v>
      </c>
      <c r="S555" s="90" t="e">
        <f t="shared" si="219"/>
        <v>#REF!</v>
      </c>
      <c r="T555" s="90" t="e">
        <f t="shared" si="219"/>
        <v>#REF!</v>
      </c>
      <c r="U555" s="90" t="e">
        <f t="shared" si="219"/>
        <v>#REF!</v>
      </c>
      <c r="V555" s="90" t="e">
        <f t="shared" si="219"/>
        <v>#REF!</v>
      </c>
      <c r="W555" s="90" t="e">
        <f t="shared" si="219"/>
        <v>#REF!</v>
      </c>
      <c r="X555" s="90" t="e">
        <f t="shared" si="219"/>
        <v>#REF!</v>
      </c>
      <c r="Y555" s="90" t="e">
        <f t="shared" si="219"/>
        <v>#REF!</v>
      </c>
      <c r="Z555" s="90" t="e">
        <f t="shared" si="219"/>
        <v>#REF!</v>
      </c>
      <c r="AA555" s="90" t="e">
        <f t="shared" si="219"/>
        <v>#REF!</v>
      </c>
      <c r="AB555" s="90" t="e">
        <f t="shared" si="219"/>
        <v>#REF!</v>
      </c>
      <c r="AC555" s="90" t="e">
        <f t="shared" si="219"/>
        <v>#REF!</v>
      </c>
      <c r="AD555" s="90" t="e">
        <f t="shared" si="219"/>
        <v>#REF!</v>
      </c>
      <c r="AE555" s="90" t="e">
        <f t="shared" si="219"/>
        <v>#REF!</v>
      </c>
      <c r="AF555" s="90" t="e">
        <f t="shared" si="219"/>
        <v>#REF!</v>
      </c>
      <c r="AG555" s="90" t="e">
        <f t="shared" si="219"/>
        <v>#REF!</v>
      </c>
      <c r="AH555" s="90" t="e">
        <f t="shared" si="219"/>
        <v>#REF!</v>
      </c>
      <c r="AI555" s="90" t="e">
        <f t="shared" si="219"/>
        <v>#REF!</v>
      </c>
      <c r="AJ555" s="90" t="e">
        <f t="shared" si="219"/>
        <v>#REF!</v>
      </c>
      <c r="AK555" s="90" t="e">
        <f t="shared" si="219"/>
        <v>#REF!</v>
      </c>
      <c r="AL555" s="90" t="e">
        <f t="shared" si="219"/>
        <v>#REF!</v>
      </c>
      <c r="AM555" s="90" t="e">
        <f t="shared" si="219"/>
        <v>#REF!</v>
      </c>
    </row>
    <row r="556" ht="20.25" hidden="1" customHeight="1" spans="3:39">
      <c r="C556" s="251"/>
      <c r="D556" s="251"/>
      <c r="E556" s="261"/>
      <c r="F556" s="261"/>
      <c r="G556" s="259" t="s">
        <v>118</v>
      </c>
      <c r="H556" s="264" t="s">
        <v>107</v>
      </c>
      <c r="I556" s="88">
        <v>16503</v>
      </c>
      <c r="J556" s="88">
        <v>660</v>
      </c>
      <c r="K556" s="88">
        <v>634</v>
      </c>
      <c r="L556" s="88">
        <v>634</v>
      </c>
      <c r="M556" s="88">
        <v>496</v>
      </c>
      <c r="N556" s="88">
        <v>458</v>
      </c>
      <c r="O556" s="88">
        <v>414</v>
      </c>
      <c r="P556" s="88">
        <v>447</v>
      </c>
      <c r="Q556" s="88">
        <v>445</v>
      </c>
      <c r="R556" s="88">
        <v>460</v>
      </c>
      <c r="S556" s="88">
        <v>472</v>
      </c>
      <c r="T556" s="88">
        <v>472</v>
      </c>
      <c r="U556" s="88">
        <v>458</v>
      </c>
      <c r="V556" s="88">
        <v>470</v>
      </c>
      <c r="W556" s="88">
        <v>603</v>
      </c>
      <c r="X556" s="88">
        <v>614</v>
      </c>
      <c r="Y556" s="88">
        <v>759</v>
      </c>
      <c r="Z556" s="88">
        <v>950</v>
      </c>
      <c r="AA556" s="88">
        <v>1978</v>
      </c>
      <c r="AB556" s="88">
        <v>769</v>
      </c>
      <c r="AC556" s="88">
        <v>632</v>
      </c>
      <c r="AD556" s="88">
        <v>359</v>
      </c>
      <c r="AE556" s="88">
        <v>359</v>
      </c>
      <c r="AF556" s="88">
        <v>361</v>
      </c>
      <c r="AG556" s="88">
        <v>376</v>
      </c>
      <c r="AH556" s="88">
        <v>361</v>
      </c>
      <c r="AI556" s="88">
        <v>391</v>
      </c>
      <c r="AJ556" s="88">
        <v>334</v>
      </c>
      <c r="AK556" s="88">
        <v>382</v>
      </c>
      <c r="AL556" s="88">
        <v>378</v>
      </c>
      <c r="AM556" s="88">
        <v>378</v>
      </c>
    </row>
    <row r="557" ht="20.25" hidden="1" customHeight="1" spans="3:39">
      <c r="C557" s="251"/>
      <c r="D557" s="251"/>
      <c r="E557" s="261"/>
      <c r="F557" s="261"/>
      <c r="G557" s="262"/>
      <c r="H557" s="264" t="s">
        <v>108</v>
      </c>
      <c r="I557" s="90">
        <v>0.3</v>
      </c>
      <c r="J557" s="90">
        <v>0.3</v>
      </c>
      <c r="K557" s="90">
        <v>0.3</v>
      </c>
      <c r="L557" s="90">
        <v>0.3</v>
      </c>
      <c r="M557" s="90">
        <v>0.3</v>
      </c>
      <c r="N557" s="90">
        <v>0.3</v>
      </c>
      <c r="O557" s="90">
        <v>0.3</v>
      </c>
      <c r="P557" s="90">
        <v>0.3</v>
      </c>
      <c r="Q557" s="90">
        <v>0.3</v>
      </c>
      <c r="R557" s="90">
        <v>0.3</v>
      </c>
      <c r="S557" s="90">
        <v>0.3</v>
      </c>
      <c r="T557" s="90">
        <v>0.3</v>
      </c>
      <c r="U557" s="90">
        <v>0.3</v>
      </c>
      <c r="V557" s="90">
        <v>0.3</v>
      </c>
      <c r="W557" s="90">
        <v>0.3</v>
      </c>
      <c r="X557" s="90">
        <v>0.3</v>
      </c>
      <c r="Y557" s="90">
        <v>0.3</v>
      </c>
      <c r="Z557" s="90">
        <v>0.3</v>
      </c>
      <c r="AA557" s="90">
        <v>0.3</v>
      </c>
      <c r="AB557" s="90">
        <v>0.3</v>
      </c>
      <c r="AC557" s="90">
        <v>0.3</v>
      </c>
      <c r="AD557" s="90">
        <v>0.3</v>
      </c>
      <c r="AE557" s="90">
        <v>0.3</v>
      </c>
      <c r="AF557" s="90">
        <v>0.3</v>
      </c>
      <c r="AG557" s="90">
        <v>0.3</v>
      </c>
      <c r="AH557" s="90">
        <v>0.3</v>
      </c>
      <c r="AI557" s="90">
        <v>0.3</v>
      </c>
      <c r="AJ557" s="90">
        <v>0.3</v>
      </c>
      <c r="AK557" s="90">
        <v>0.3</v>
      </c>
      <c r="AL557" s="90">
        <v>0.3</v>
      </c>
      <c r="AM557" s="90">
        <v>0.3</v>
      </c>
    </row>
    <row r="558" ht="20.25" hidden="1" customHeight="1" spans="3:39">
      <c r="C558" s="251"/>
      <c r="D558" s="251"/>
      <c r="E558" s="261"/>
      <c r="F558" s="261"/>
      <c r="G558" s="262"/>
      <c r="H558" s="264" t="s">
        <v>109</v>
      </c>
      <c r="I558" s="88" t="e">
        <f>SUM(J558:AM558)</f>
        <v>#REF!</v>
      </c>
      <c r="J558" s="88" t="e">
        <f>SUMIFS(#REF!,#REF!,$D$541,#REF!,$G556,#REF!,J$480)</f>
        <v>#REF!</v>
      </c>
      <c r="K558" s="88" t="e">
        <f>SUMIFS(#REF!,#REF!,$D$541,#REF!,$G556,#REF!,K$480)</f>
        <v>#REF!</v>
      </c>
      <c r="L558" s="88" t="e">
        <f>SUMIFS(#REF!,#REF!,$D$541,#REF!,$G556,#REF!,L$480)</f>
        <v>#REF!</v>
      </c>
      <c r="M558" s="88" t="e">
        <f>SUMIFS(#REF!,#REF!,$D$541,#REF!,$G556,#REF!,M$480)</f>
        <v>#REF!</v>
      </c>
      <c r="N558" s="88" t="e">
        <f>SUMIFS(#REF!,#REF!,$D$541,#REF!,$G556,#REF!,N$480)</f>
        <v>#REF!</v>
      </c>
      <c r="O558" s="88" t="e">
        <f>SUMIFS(#REF!,#REF!,$D$541,#REF!,$G556,#REF!,O$480)</f>
        <v>#REF!</v>
      </c>
      <c r="P558" s="88" t="e">
        <f>SUMIFS(#REF!,#REF!,$D$541,#REF!,$G556,#REF!,P$480)</f>
        <v>#REF!</v>
      </c>
      <c r="Q558" s="88" t="e">
        <f>SUMIFS(#REF!,#REF!,$D$541,#REF!,$G556,#REF!,Q$480)</f>
        <v>#REF!</v>
      </c>
      <c r="R558" s="88" t="e">
        <f>SUMIFS(#REF!,#REF!,$D$541,#REF!,$G556,#REF!,R$480)</f>
        <v>#REF!</v>
      </c>
      <c r="S558" s="88" t="e">
        <f>SUMIFS(#REF!,#REF!,$D$541,#REF!,$G556,#REF!,S$480)</f>
        <v>#REF!</v>
      </c>
      <c r="T558" s="88" t="e">
        <f>SUMIFS(#REF!,#REF!,$D$541,#REF!,$G556,#REF!,T$480)</f>
        <v>#REF!</v>
      </c>
      <c r="U558" s="88" t="e">
        <f>SUMIFS(#REF!,#REF!,$D$541,#REF!,$G556,#REF!,U$480)</f>
        <v>#REF!</v>
      </c>
      <c r="V558" s="88" t="e">
        <f>SUMIFS(#REF!,#REF!,$D$541,#REF!,$G556,#REF!,V$480)</f>
        <v>#REF!</v>
      </c>
      <c r="W558" s="88" t="e">
        <f>SUMIFS(#REF!,#REF!,$D$541,#REF!,$G556,#REF!,W$480)</f>
        <v>#REF!</v>
      </c>
      <c r="X558" s="88" t="e">
        <f>SUMIFS(#REF!,#REF!,$D$541,#REF!,$G556,#REF!,X$480)</f>
        <v>#REF!</v>
      </c>
      <c r="Y558" s="88" t="e">
        <f>SUMIFS(#REF!,#REF!,$D$541,#REF!,$G556,#REF!,Y$480)</f>
        <v>#REF!</v>
      </c>
      <c r="Z558" s="88" t="e">
        <f>SUMIFS(#REF!,#REF!,$D$541,#REF!,$G556,#REF!,Z$480)</f>
        <v>#REF!</v>
      </c>
      <c r="AA558" s="88" t="e">
        <f>SUMIFS(#REF!,#REF!,$D$541,#REF!,$G556,#REF!,AA$480)</f>
        <v>#REF!</v>
      </c>
      <c r="AB558" s="88" t="e">
        <f>SUMIFS(#REF!,#REF!,$D$541,#REF!,$G556,#REF!,AB$480)</f>
        <v>#REF!</v>
      </c>
      <c r="AC558" s="88" t="e">
        <f>SUMIFS(#REF!,#REF!,$D$541,#REF!,$G556,#REF!,AC$480)</f>
        <v>#REF!</v>
      </c>
      <c r="AD558" s="88" t="e">
        <f>SUMIFS(#REF!,#REF!,$D$541,#REF!,$G556,#REF!,AD$480)</f>
        <v>#REF!</v>
      </c>
      <c r="AE558" s="88" t="e">
        <f>SUMIFS(#REF!,#REF!,$D$541,#REF!,$G556,#REF!,AE$480)</f>
        <v>#REF!</v>
      </c>
      <c r="AF558" s="88" t="e">
        <f>SUMIFS(#REF!,#REF!,$D$541,#REF!,$G556,#REF!,AF$480)</f>
        <v>#REF!</v>
      </c>
      <c r="AG558" s="88" t="e">
        <f>SUMIFS(#REF!,#REF!,$D$541,#REF!,$G556,#REF!,AG$480)</f>
        <v>#REF!</v>
      </c>
      <c r="AH558" s="88" t="e">
        <f>SUMIFS(#REF!,#REF!,$D$541,#REF!,$G556,#REF!,AH$480)</f>
        <v>#REF!</v>
      </c>
      <c r="AI558" s="88" t="e">
        <f>SUMIFS(#REF!,#REF!,$D$541,#REF!,$G556,#REF!,AI$480)</f>
        <v>#REF!</v>
      </c>
      <c r="AJ558" s="88" t="e">
        <f>SUMIFS(#REF!,#REF!,$D$541,#REF!,$G556,#REF!,AJ$480)</f>
        <v>#REF!</v>
      </c>
      <c r="AK558" s="88" t="e">
        <f>SUMIFS(#REF!,#REF!,$D$541,#REF!,$G556,#REF!,AK$480)</f>
        <v>#REF!</v>
      </c>
      <c r="AL558" s="88" t="e">
        <f>SUMIFS(#REF!,#REF!,$D$541,#REF!,$G556,#REF!,AL$480)</f>
        <v>#REF!</v>
      </c>
      <c r="AM558" s="88" t="e">
        <f>SUMIFS(#REF!,#REF!,$D$541,#REF!,$G556,#REF!,AM$480)</f>
        <v>#REF!</v>
      </c>
    </row>
    <row r="559" ht="20.25" hidden="1" customHeight="1" spans="3:39">
      <c r="C559" s="251"/>
      <c r="D559" s="251"/>
      <c r="E559" s="261"/>
      <c r="F559" s="261"/>
      <c r="G559" s="262"/>
      <c r="H559" s="264" t="s">
        <v>110</v>
      </c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</row>
    <row r="560" ht="20.25" hidden="1" customHeight="1" spans="3:39">
      <c r="C560" s="251"/>
      <c r="D560" s="251"/>
      <c r="E560" s="261"/>
      <c r="F560" s="261"/>
      <c r="G560" s="262"/>
      <c r="H560" s="264" t="s">
        <v>111</v>
      </c>
      <c r="I560" s="90" t="e">
        <f t="shared" ref="I560:AM560" si="220">I558/I556</f>
        <v>#REF!</v>
      </c>
      <c r="J560" s="90" t="e">
        <f t="shared" si="220"/>
        <v>#REF!</v>
      </c>
      <c r="K560" s="90" t="e">
        <f t="shared" si="220"/>
        <v>#REF!</v>
      </c>
      <c r="L560" s="90" t="e">
        <f t="shared" si="220"/>
        <v>#REF!</v>
      </c>
      <c r="M560" s="90" t="e">
        <f t="shared" si="220"/>
        <v>#REF!</v>
      </c>
      <c r="N560" s="90" t="e">
        <f t="shared" si="220"/>
        <v>#REF!</v>
      </c>
      <c r="O560" s="90" t="e">
        <f t="shared" si="220"/>
        <v>#REF!</v>
      </c>
      <c r="P560" s="90" t="e">
        <f t="shared" si="220"/>
        <v>#REF!</v>
      </c>
      <c r="Q560" s="90" t="e">
        <f t="shared" si="220"/>
        <v>#REF!</v>
      </c>
      <c r="R560" s="90" t="e">
        <f t="shared" si="220"/>
        <v>#REF!</v>
      </c>
      <c r="S560" s="90" t="e">
        <f t="shared" si="220"/>
        <v>#REF!</v>
      </c>
      <c r="T560" s="90" t="e">
        <f t="shared" si="220"/>
        <v>#REF!</v>
      </c>
      <c r="U560" s="90" t="e">
        <f t="shared" si="220"/>
        <v>#REF!</v>
      </c>
      <c r="V560" s="90" t="e">
        <f t="shared" si="220"/>
        <v>#REF!</v>
      </c>
      <c r="W560" s="90" t="e">
        <f t="shared" si="220"/>
        <v>#REF!</v>
      </c>
      <c r="X560" s="90" t="e">
        <f t="shared" si="220"/>
        <v>#REF!</v>
      </c>
      <c r="Y560" s="90" t="e">
        <f t="shared" si="220"/>
        <v>#REF!</v>
      </c>
      <c r="Z560" s="90" t="e">
        <f t="shared" si="220"/>
        <v>#REF!</v>
      </c>
      <c r="AA560" s="90" t="e">
        <f t="shared" si="220"/>
        <v>#REF!</v>
      </c>
      <c r="AB560" s="90" t="e">
        <f t="shared" si="220"/>
        <v>#REF!</v>
      </c>
      <c r="AC560" s="90" t="e">
        <f t="shared" si="220"/>
        <v>#REF!</v>
      </c>
      <c r="AD560" s="90" t="e">
        <f t="shared" si="220"/>
        <v>#REF!</v>
      </c>
      <c r="AE560" s="90" t="e">
        <f t="shared" si="220"/>
        <v>#REF!</v>
      </c>
      <c r="AF560" s="90" t="e">
        <f t="shared" si="220"/>
        <v>#REF!</v>
      </c>
      <c r="AG560" s="90" t="e">
        <f t="shared" si="220"/>
        <v>#REF!</v>
      </c>
      <c r="AH560" s="90" t="e">
        <f t="shared" si="220"/>
        <v>#REF!</v>
      </c>
      <c r="AI560" s="90" t="e">
        <f t="shared" si="220"/>
        <v>#REF!</v>
      </c>
      <c r="AJ560" s="90" t="e">
        <f t="shared" si="220"/>
        <v>#REF!</v>
      </c>
      <c r="AK560" s="90" t="e">
        <f t="shared" si="220"/>
        <v>#REF!</v>
      </c>
      <c r="AL560" s="90" t="e">
        <f t="shared" si="220"/>
        <v>#REF!</v>
      </c>
      <c r="AM560" s="90" t="e">
        <f t="shared" si="220"/>
        <v>#REF!</v>
      </c>
    </row>
    <row r="561" ht="20.25" hidden="1" customHeight="1" spans="3:39">
      <c r="C561" s="251"/>
      <c r="D561" s="251"/>
      <c r="E561" s="261"/>
      <c r="F561" s="261"/>
      <c r="G561" s="259" t="s">
        <v>119</v>
      </c>
      <c r="H561" s="264" t="s">
        <v>107</v>
      </c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</row>
    <row r="562" ht="20.25" hidden="1" customHeight="1" spans="3:39">
      <c r="C562" s="251"/>
      <c r="D562" s="251"/>
      <c r="E562" s="261"/>
      <c r="F562" s="261"/>
      <c r="G562" s="262"/>
      <c r="H562" s="264" t="s">
        <v>108</v>
      </c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</row>
    <row r="563" ht="20.25" hidden="1" customHeight="1" spans="3:39">
      <c r="C563" s="251"/>
      <c r="D563" s="251"/>
      <c r="E563" s="261"/>
      <c r="F563" s="261"/>
      <c r="G563" s="262"/>
      <c r="H563" s="264" t="s">
        <v>109</v>
      </c>
      <c r="I563" s="88" t="e">
        <f>SUM(J563:AM563)</f>
        <v>#REF!</v>
      </c>
      <c r="J563" s="88" t="e">
        <f>SUMIFS(#REF!,#REF!,$D$541,#REF!,$G561,#REF!,J$480)</f>
        <v>#REF!</v>
      </c>
      <c r="K563" s="88" t="e">
        <f>SUMIFS(#REF!,#REF!,$D$541,#REF!,$G561,#REF!,K$480)</f>
        <v>#REF!</v>
      </c>
      <c r="L563" s="88" t="e">
        <f>SUMIFS(#REF!,#REF!,$D$541,#REF!,$G561,#REF!,L$480)</f>
        <v>#REF!</v>
      </c>
      <c r="M563" s="88" t="e">
        <f>SUMIFS(#REF!,#REF!,$D$541,#REF!,$G561,#REF!,M$480)</f>
        <v>#REF!</v>
      </c>
      <c r="N563" s="88" t="e">
        <f>SUMIFS(#REF!,#REF!,$D$541,#REF!,$G561,#REF!,N$480)</f>
        <v>#REF!</v>
      </c>
      <c r="O563" s="88" t="e">
        <f>SUMIFS(#REF!,#REF!,$D$541,#REF!,$G561,#REF!,O$480)</f>
        <v>#REF!</v>
      </c>
      <c r="P563" s="88" t="e">
        <f>SUMIFS(#REF!,#REF!,$D$541,#REF!,$G561,#REF!,P$480)</f>
        <v>#REF!</v>
      </c>
      <c r="Q563" s="88" t="e">
        <f>SUMIFS(#REF!,#REF!,$D$541,#REF!,$G561,#REF!,Q$480)</f>
        <v>#REF!</v>
      </c>
      <c r="R563" s="88" t="e">
        <f>SUMIFS(#REF!,#REF!,$D$541,#REF!,$G561,#REF!,R$480)</f>
        <v>#REF!</v>
      </c>
      <c r="S563" s="88" t="e">
        <f>SUMIFS(#REF!,#REF!,$D$541,#REF!,$G561,#REF!,S$480)</f>
        <v>#REF!</v>
      </c>
      <c r="T563" s="88" t="e">
        <f>SUMIFS(#REF!,#REF!,$D$541,#REF!,$G561,#REF!,T$480)</f>
        <v>#REF!</v>
      </c>
      <c r="U563" s="88" t="e">
        <f>SUMIFS(#REF!,#REF!,$D$541,#REF!,$G561,#REF!,U$480)</f>
        <v>#REF!</v>
      </c>
      <c r="V563" s="88" t="e">
        <f>SUMIFS(#REF!,#REF!,$D$541,#REF!,$G561,#REF!,V$480)</f>
        <v>#REF!</v>
      </c>
      <c r="W563" s="88" t="e">
        <f>SUMIFS(#REF!,#REF!,$D$541,#REF!,$G561,#REF!,W$480)</f>
        <v>#REF!</v>
      </c>
      <c r="X563" s="88" t="e">
        <f>SUMIFS(#REF!,#REF!,$D$541,#REF!,$G561,#REF!,X$480)</f>
        <v>#REF!</v>
      </c>
      <c r="Y563" s="88" t="e">
        <f>SUMIFS(#REF!,#REF!,$D$541,#REF!,$G561,#REF!,Y$480)</f>
        <v>#REF!</v>
      </c>
      <c r="Z563" s="88" t="e">
        <f>SUMIFS(#REF!,#REF!,$D$541,#REF!,$G561,#REF!,Z$480)</f>
        <v>#REF!</v>
      </c>
      <c r="AA563" s="88" t="e">
        <f>SUMIFS(#REF!,#REF!,$D$541,#REF!,$G561,#REF!,AA$480)</f>
        <v>#REF!</v>
      </c>
      <c r="AB563" s="88" t="e">
        <f>SUMIFS(#REF!,#REF!,$D$541,#REF!,$G561,#REF!,AB$480)</f>
        <v>#REF!</v>
      </c>
      <c r="AC563" s="88" t="e">
        <f>SUMIFS(#REF!,#REF!,$D$541,#REF!,$G561,#REF!,AC$480)</f>
        <v>#REF!</v>
      </c>
      <c r="AD563" s="88" t="e">
        <f>SUMIFS(#REF!,#REF!,$D$541,#REF!,$G561,#REF!,AD$480)</f>
        <v>#REF!</v>
      </c>
      <c r="AE563" s="88" t="e">
        <f>SUMIFS(#REF!,#REF!,$D$541,#REF!,$G561,#REF!,AE$480)</f>
        <v>#REF!</v>
      </c>
      <c r="AF563" s="88" t="e">
        <f>SUMIFS(#REF!,#REF!,$D$541,#REF!,$G561,#REF!,AF$480)</f>
        <v>#REF!</v>
      </c>
      <c r="AG563" s="88" t="e">
        <f>SUMIFS(#REF!,#REF!,$D$541,#REF!,$G561,#REF!,AG$480)</f>
        <v>#REF!</v>
      </c>
      <c r="AH563" s="88" t="e">
        <f>SUMIFS(#REF!,#REF!,$D$541,#REF!,$G561,#REF!,AH$480)</f>
        <v>#REF!</v>
      </c>
      <c r="AI563" s="88" t="e">
        <f>SUMIFS(#REF!,#REF!,$D$541,#REF!,$G561,#REF!,AI$480)</f>
        <v>#REF!</v>
      </c>
      <c r="AJ563" s="88" t="e">
        <f>SUMIFS(#REF!,#REF!,$D$541,#REF!,$G561,#REF!,AJ$480)</f>
        <v>#REF!</v>
      </c>
      <c r="AK563" s="88" t="e">
        <f>SUMIFS(#REF!,#REF!,$D$541,#REF!,$G561,#REF!,AK$480)</f>
        <v>#REF!</v>
      </c>
      <c r="AL563" s="88" t="e">
        <f>SUMIFS(#REF!,#REF!,$D$541,#REF!,$G561,#REF!,AL$480)</f>
        <v>#REF!</v>
      </c>
      <c r="AM563" s="88" t="e">
        <f>SUMIFS(#REF!,#REF!,$D$541,#REF!,$G561,#REF!,AM$480)</f>
        <v>#REF!</v>
      </c>
    </row>
    <row r="564" ht="20.25" hidden="1" customHeight="1" spans="3:39">
      <c r="C564" s="251"/>
      <c r="D564" s="251"/>
      <c r="E564" s="261"/>
      <c r="F564" s="261"/>
      <c r="G564" s="262"/>
      <c r="H564" s="264" t="s">
        <v>110</v>
      </c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</row>
    <row r="565" ht="20.25" hidden="1" customHeight="1" spans="3:39">
      <c r="C565" s="251"/>
      <c r="D565" s="251"/>
      <c r="E565" s="261"/>
      <c r="F565" s="261"/>
      <c r="G565" s="262"/>
      <c r="H565" s="264" t="s">
        <v>111</v>
      </c>
      <c r="I565" s="90" t="e">
        <f t="shared" ref="I565:AM565" si="221">I563/I561</f>
        <v>#REF!</v>
      </c>
      <c r="J565" s="90" t="e">
        <f t="shared" si="221"/>
        <v>#REF!</v>
      </c>
      <c r="K565" s="90" t="e">
        <f t="shared" si="221"/>
        <v>#REF!</v>
      </c>
      <c r="L565" s="90" t="e">
        <f t="shared" si="221"/>
        <v>#REF!</v>
      </c>
      <c r="M565" s="90" t="e">
        <f t="shared" si="221"/>
        <v>#REF!</v>
      </c>
      <c r="N565" s="90" t="e">
        <f t="shared" si="221"/>
        <v>#REF!</v>
      </c>
      <c r="O565" s="90" t="e">
        <f t="shared" si="221"/>
        <v>#REF!</v>
      </c>
      <c r="P565" s="90" t="e">
        <f t="shared" si="221"/>
        <v>#REF!</v>
      </c>
      <c r="Q565" s="90" t="e">
        <f t="shared" si="221"/>
        <v>#REF!</v>
      </c>
      <c r="R565" s="90" t="e">
        <f t="shared" si="221"/>
        <v>#REF!</v>
      </c>
      <c r="S565" s="90" t="e">
        <f t="shared" si="221"/>
        <v>#REF!</v>
      </c>
      <c r="T565" s="90" t="e">
        <f t="shared" si="221"/>
        <v>#REF!</v>
      </c>
      <c r="U565" s="90" t="e">
        <f t="shared" si="221"/>
        <v>#REF!</v>
      </c>
      <c r="V565" s="90" t="e">
        <f t="shared" si="221"/>
        <v>#REF!</v>
      </c>
      <c r="W565" s="90" t="e">
        <f t="shared" si="221"/>
        <v>#REF!</v>
      </c>
      <c r="X565" s="90" t="e">
        <f t="shared" si="221"/>
        <v>#REF!</v>
      </c>
      <c r="Y565" s="90" t="e">
        <f t="shared" si="221"/>
        <v>#REF!</v>
      </c>
      <c r="Z565" s="90" t="e">
        <f t="shared" si="221"/>
        <v>#REF!</v>
      </c>
      <c r="AA565" s="90" t="e">
        <f t="shared" si="221"/>
        <v>#REF!</v>
      </c>
      <c r="AB565" s="90" t="e">
        <f t="shared" si="221"/>
        <v>#REF!</v>
      </c>
      <c r="AC565" s="90" t="e">
        <f t="shared" si="221"/>
        <v>#REF!</v>
      </c>
      <c r="AD565" s="90" t="e">
        <f t="shared" si="221"/>
        <v>#REF!</v>
      </c>
      <c r="AE565" s="90" t="e">
        <f t="shared" si="221"/>
        <v>#REF!</v>
      </c>
      <c r="AF565" s="90" t="e">
        <f t="shared" si="221"/>
        <v>#REF!</v>
      </c>
      <c r="AG565" s="90" t="e">
        <f t="shared" si="221"/>
        <v>#REF!</v>
      </c>
      <c r="AH565" s="90" t="e">
        <f t="shared" si="221"/>
        <v>#REF!</v>
      </c>
      <c r="AI565" s="90" t="e">
        <f t="shared" si="221"/>
        <v>#REF!</v>
      </c>
      <c r="AJ565" s="90" t="e">
        <f t="shared" si="221"/>
        <v>#REF!</v>
      </c>
      <c r="AK565" s="90" t="e">
        <f t="shared" si="221"/>
        <v>#REF!</v>
      </c>
      <c r="AL565" s="90" t="e">
        <f t="shared" si="221"/>
        <v>#REF!</v>
      </c>
      <c r="AM565" s="90" t="e">
        <f t="shared" si="221"/>
        <v>#REF!</v>
      </c>
    </row>
    <row r="566" ht="20.25" hidden="1" customHeight="1" spans="3:39">
      <c r="C566" s="251"/>
      <c r="D566" s="251"/>
      <c r="E566" s="261"/>
      <c r="F566" s="261"/>
      <c r="G566" s="263" t="s">
        <v>94</v>
      </c>
      <c r="H566" s="264" t="s">
        <v>107</v>
      </c>
      <c r="I566" s="88">
        <v>55011</v>
      </c>
      <c r="J566" s="88">
        <v>2201</v>
      </c>
      <c r="K566" s="88">
        <v>2114</v>
      </c>
      <c r="L566" s="88">
        <v>2114</v>
      </c>
      <c r="M566" s="88">
        <v>1653</v>
      </c>
      <c r="N566" s="88">
        <v>1526</v>
      </c>
      <c r="O566" s="88">
        <v>1380</v>
      </c>
      <c r="P566" s="88">
        <v>1490</v>
      </c>
      <c r="Q566" s="88">
        <v>1484</v>
      </c>
      <c r="R566" s="88">
        <v>1532</v>
      </c>
      <c r="S566" s="88">
        <v>1574</v>
      </c>
      <c r="T566" s="88">
        <v>1574</v>
      </c>
      <c r="U566" s="88">
        <v>1526</v>
      </c>
      <c r="V566" s="88">
        <v>1568</v>
      </c>
      <c r="W566" s="88">
        <v>2010</v>
      </c>
      <c r="X566" s="88">
        <v>2045</v>
      </c>
      <c r="Y566" s="88">
        <v>2530</v>
      </c>
      <c r="Z566" s="88">
        <v>3167</v>
      </c>
      <c r="AA566" s="88">
        <v>6592</v>
      </c>
      <c r="AB566" s="88">
        <v>2562</v>
      </c>
      <c r="AC566" s="88">
        <v>2107</v>
      </c>
      <c r="AD566" s="88">
        <v>1198</v>
      </c>
      <c r="AE566" s="88">
        <v>1198</v>
      </c>
      <c r="AF566" s="88">
        <v>1204</v>
      </c>
      <c r="AG566" s="88">
        <v>1253</v>
      </c>
      <c r="AH566" s="88">
        <v>1204</v>
      </c>
      <c r="AI566" s="88">
        <v>1302</v>
      </c>
      <c r="AJ566" s="88">
        <v>1113</v>
      </c>
      <c r="AK566" s="88">
        <v>1272</v>
      </c>
      <c r="AL566" s="88">
        <v>1259</v>
      </c>
      <c r="AM566" s="88">
        <v>1259</v>
      </c>
    </row>
    <row r="567" ht="20.25" hidden="1" customHeight="1" spans="3:39">
      <c r="C567" s="251"/>
      <c r="D567" s="251"/>
      <c r="E567" s="261"/>
      <c r="F567" s="261"/>
      <c r="G567" s="262"/>
      <c r="H567" s="264" t="s">
        <v>108</v>
      </c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</row>
    <row r="568" ht="20.25" hidden="1" customHeight="1" spans="3:39">
      <c r="C568" s="251"/>
      <c r="D568" s="251"/>
      <c r="E568" s="261"/>
      <c r="F568" s="261"/>
      <c r="G568" s="262"/>
      <c r="H568" s="264" t="s">
        <v>109</v>
      </c>
      <c r="I568" s="88" t="e">
        <f>SUM(J568:AM568)</f>
        <v>#REF!</v>
      </c>
      <c r="J568" s="88" t="e">
        <f t="shared" ref="J568:AM568" si="222">J563+J558+J553+J548+J543</f>
        <v>#REF!</v>
      </c>
      <c r="K568" s="88" t="e">
        <f t="shared" si="222"/>
        <v>#REF!</v>
      </c>
      <c r="L568" s="88" t="e">
        <f t="shared" si="222"/>
        <v>#REF!</v>
      </c>
      <c r="M568" s="88" t="e">
        <f t="shared" si="222"/>
        <v>#REF!</v>
      </c>
      <c r="N568" s="88" t="e">
        <f t="shared" si="222"/>
        <v>#REF!</v>
      </c>
      <c r="O568" s="88" t="e">
        <f t="shared" si="222"/>
        <v>#REF!</v>
      </c>
      <c r="P568" s="88" t="e">
        <f t="shared" si="222"/>
        <v>#REF!</v>
      </c>
      <c r="Q568" s="88" t="e">
        <f t="shared" si="222"/>
        <v>#REF!</v>
      </c>
      <c r="R568" s="88" t="e">
        <f t="shared" si="222"/>
        <v>#REF!</v>
      </c>
      <c r="S568" s="88" t="e">
        <f t="shared" si="222"/>
        <v>#REF!</v>
      </c>
      <c r="T568" s="88" t="e">
        <f t="shared" si="222"/>
        <v>#REF!</v>
      </c>
      <c r="U568" s="88" t="e">
        <f t="shared" si="222"/>
        <v>#REF!</v>
      </c>
      <c r="V568" s="88" t="e">
        <f t="shared" si="222"/>
        <v>#REF!</v>
      </c>
      <c r="W568" s="88" t="e">
        <f t="shared" si="222"/>
        <v>#REF!</v>
      </c>
      <c r="X568" s="88" t="e">
        <f t="shared" si="222"/>
        <v>#REF!</v>
      </c>
      <c r="Y568" s="88" t="e">
        <f t="shared" si="222"/>
        <v>#REF!</v>
      </c>
      <c r="Z568" s="88" t="e">
        <f t="shared" si="222"/>
        <v>#REF!</v>
      </c>
      <c r="AA568" s="88" t="e">
        <f t="shared" si="222"/>
        <v>#REF!</v>
      </c>
      <c r="AB568" s="88" t="e">
        <f t="shared" si="222"/>
        <v>#REF!</v>
      </c>
      <c r="AC568" s="88" t="e">
        <f t="shared" si="222"/>
        <v>#REF!</v>
      </c>
      <c r="AD568" s="88" t="e">
        <f t="shared" si="222"/>
        <v>#REF!</v>
      </c>
      <c r="AE568" s="88" t="e">
        <f t="shared" si="222"/>
        <v>#REF!</v>
      </c>
      <c r="AF568" s="88" t="e">
        <f t="shared" si="222"/>
        <v>#REF!</v>
      </c>
      <c r="AG568" s="88" t="e">
        <f t="shared" si="222"/>
        <v>#REF!</v>
      </c>
      <c r="AH568" s="88" t="e">
        <f t="shared" si="222"/>
        <v>#REF!</v>
      </c>
      <c r="AI568" s="88" t="e">
        <f t="shared" si="222"/>
        <v>#REF!</v>
      </c>
      <c r="AJ568" s="88" t="e">
        <f t="shared" si="222"/>
        <v>#REF!</v>
      </c>
      <c r="AK568" s="88" t="e">
        <f t="shared" si="222"/>
        <v>#REF!</v>
      </c>
      <c r="AL568" s="88" t="e">
        <f t="shared" si="222"/>
        <v>#REF!</v>
      </c>
      <c r="AM568" s="88" t="e">
        <f t="shared" si="222"/>
        <v>#REF!</v>
      </c>
    </row>
    <row r="569" ht="20.25" hidden="1" customHeight="1" spans="3:39">
      <c r="C569" s="251"/>
      <c r="D569" s="251"/>
      <c r="E569" s="261"/>
      <c r="F569" s="261"/>
      <c r="G569" s="262"/>
      <c r="H569" s="264" t="s">
        <v>110</v>
      </c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</row>
    <row r="570" ht="20.25" hidden="1" customHeight="1" spans="3:39">
      <c r="C570" s="251"/>
      <c r="D570" s="251"/>
      <c r="E570" s="261"/>
      <c r="F570" s="261"/>
      <c r="G570" s="262"/>
      <c r="H570" s="264" t="s">
        <v>111</v>
      </c>
      <c r="I570" s="90" t="e">
        <f t="shared" ref="I570:AM570" si="223">I568/I566</f>
        <v>#REF!</v>
      </c>
      <c r="J570" s="90" t="e">
        <f t="shared" si="223"/>
        <v>#REF!</v>
      </c>
      <c r="K570" s="90" t="e">
        <f t="shared" si="223"/>
        <v>#REF!</v>
      </c>
      <c r="L570" s="90" t="e">
        <f t="shared" si="223"/>
        <v>#REF!</v>
      </c>
      <c r="M570" s="90" t="e">
        <f t="shared" si="223"/>
        <v>#REF!</v>
      </c>
      <c r="N570" s="90" t="e">
        <f t="shared" si="223"/>
        <v>#REF!</v>
      </c>
      <c r="O570" s="90" t="e">
        <f t="shared" si="223"/>
        <v>#REF!</v>
      </c>
      <c r="P570" s="90" t="e">
        <f t="shared" si="223"/>
        <v>#REF!</v>
      </c>
      <c r="Q570" s="90" t="e">
        <f t="shared" si="223"/>
        <v>#REF!</v>
      </c>
      <c r="R570" s="90" t="e">
        <f t="shared" si="223"/>
        <v>#REF!</v>
      </c>
      <c r="S570" s="90" t="e">
        <f t="shared" si="223"/>
        <v>#REF!</v>
      </c>
      <c r="T570" s="90" t="e">
        <f t="shared" si="223"/>
        <v>#REF!</v>
      </c>
      <c r="U570" s="90" t="e">
        <f t="shared" si="223"/>
        <v>#REF!</v>
      </c>
      <c r="V570" s="90" t="e">
        <f t="shared" si="223"/>
        <v>#REF!</v>
      </c>
      <c r="W570" s="90" t="e">
        <f t="shared" si="223"/>
        <v>#REF!</v>
      </c>
      <c r="X570" s="90" t="e">
        <f t="shared" si="223"/>
        <v>#REF!</v>
      </c>
      <c r="Y570" s="90" t="e">
        <f t="shared" si="223"/>
        <v>#REF!</v>
      </c>
      <c r="Z570" s="90" t="e">
        <f t="shared" si="223"/>
        <v>#REF!</v>
      </c>
      <c r="AA570" s="90" t="e">
        <f t="shared" si="223"/>
        <v>#REF!</v>
      </c>
      <c r="AB570" s="90" t="e">
        <f t="shared" si="223"/>
        <v>#REF!</v>
      </c>
      <c r="AC570" s="90" t="e">
        <f t="shared" si="223"/>
        <v>#REF!</v>
      </c>
      <c r="AD570" s="90" t="e">
        <f t="shared" si="223"/>
        <v>#REF!</v>
      </c>
      <c r="AE570" s="90" t="e">
        <f t="shared" si="223"/>
        <v>#REF!</v>
      </c>
      <c r="AF570" s="90" t="e">
        <f t="shared" si="223"/>
        <v>#REF!</v>
      </c>
      <c r="AG570" s="90" t="e">
        <f t="shared" si="223"/>
        <v>#REF!</v>
      </c>
      <c r="AH570" s="90" t="e">
        <f t="shared" si="223"/>
        <v>#REF!</v>
      </c>
      <c r="AI570" s="90" t="e">
        <f t="shared" si="223"/>
        <v>#REF!</v>
      </c>
      <c r="AJ570" s="90" t="e">
        <f t="shared" si="223"/>
        <v>#REF!</v>
      </c>
      <c r="AK570" s="90" t="e">
        <f t="shared" si="223"/>
        <v>#REF!</v>
      </c>
      <c r="AL570" s="90" t="e">
        <f t="shared" si="223"/>
        <v>#REF!</v>
      </c>
      <c r="AM570" s="90" t="e">
        <f t="shared" si="223"/>
        <v>#REF!</v>
      </c>
    </row>
    <row r="571" ht="20.25" hidden="1" customHeight="1" spans="3:39">
      <c r="C571" s="251"/>
      <c r="D571" s="257" t="s">
        <v>81</v>
      </c>
      <c r="E571" s="258">
        <f>I596/$I$686</f>
        <v>0.192916486065125</v>
      </c>
      <c r="F571" s="258" t="e">
        <f>I598/$I$688</f>
        <v>#REF!</v>
      </c>
      <c r="G571" s="259" t="s">
        <v>115</v>
      </c>
      <c r="H571" s="264" t="s">
        <v>107</v>
      </c>
      <c r="I571" s="88">
        <v>42505</v>
      </c>
      <c r="J571" s="88">
        <v>1701</v>
      </c>
      <c r="K571" s="88">
        <v>1634</v>
      </c>
      <c r="L571" s="88">
        <v>1634</v>
      </c>
      <c r="M571" s="88">
        <v>1277</v>
      </c>
      <c r="N571" s="88">
        <v>1179</v>
      </c>
      <c r="O571" s="88">
        <v>1066</v>
      </c>
      <c r="P571" s="88">
        <v>1151</v>
      </c>
      <c r="Q571" s="88">
        <v>1147</v>
      </c>
      <c r="R571" s="88">
        <v>1184</v>
      </c>
      <c r="S571" s="88">
        <v>1217</v>
      </c>
      <c r="T571" s="88">
        <v>1217</v>
      </c>
      <c r="U571" s="88">
        <v>1179</v>
      </c>
      <c r="V571" s="88">
        <v>1212</v>
      </c>
      <c r="W571" s="88">
        <v>1553</v>
      </c>
      <c r="X571" s="88">
        <v>1581</v>
      </c>
      <c r="Y571" s="88">
        <v>1955</v>
      </c>
      <c r="Z571" s="88">
        <v>2447</v>
      </c>
      <c r="AA571" s="88">
        <v>5093</v>
      </c>
      <c r="AB571" s="88">
        <v>1980</v>
      </c>
      <c r="AC571" s="88">
        <v>1629</v>
      </c>
      <c r="AD571" s="88">
        <v>926</v>
      </c>
      <c r="AE571" s="88">
        <v>926</v>
      </c>
      <c r="AF571" s="88">
        <v>930</v>
      </c>
      <c r="AG571" s="88">
        <v>968</v>
      </c>
      <c r="AH571" s="88">
        <v>930</v>
      </c>
      <c r="AI571" s="88">
        <v>1006</v>
      </c>
      <c r="AJ571" s="88">
        <v>860</v>
      </c>
      <c r="AK571" s="88">
        <v>983</v>
      </c>
      <c r="AL571" s="88">
        <v>973</v>
      </c>
      <c r="AM571" s="88">
        <v>973</v>
      </c>
    </row>
    <row r="572" ht="20.25" hidden="1" customHeight="1" spans="3:39">
      <c r="C572" s="251"/>
      <c r="D572" s="251"/>
      <c r="E572" s="261"/>
      <c r="F572" s="261"/>
      <c r="G572" s="262"/>
      <c r="H572" s="264" t="s">
        <v>108</v>
      </c>
      <c r="I572" s="90">
        <v>0.5</v>
      </c>
      <c r="J572" s="90">
        <v>0.5</v>
      </c>
      <c r="K572" s="90">
        <v>0.5</v>
      </c>
      <c r="L572" s="90">
        <v>0.5</v>
      </c>
      <c r="M572" s="90">
        <v>0.5</v>
      </c>
      <c r="N572" s="90">
        <v>0.5</v>
      </c>
      <c r="O572" s="90">
        <v>0.5</v>
      </c>
      <c r="P572" s="90">
        <v>0.5</v>
      </c>
      <c r="Q572" s="90">
        <v>0.5</v>
      </c>
      <c r="R572" s="90">
        <v>0.5</v>
      </c>
      <c r="S572" s="90">
        <v>0.5</v>
      </c>
      <c r="T572" s="90">
        <v>0.5</v>
      </c>
      <c r="U572" s="90">
        <v>0.5</v>
      </c>
      <c r="V572" s="90">
        <v>0.5</v>
      </c>
      <c r="W572" s="90">
        <v>0.5</v>
      </c>
      <c r="X572" s="90">
        <v>0.5</v>
      </c>
      <c r="Y572" s="90">
        <v>0.5</v>
      </c>
      <c r="Z572" s="90">
        <v>0.5</v>
      </c>
      <c r="AA572" s="90">
        <v>0.5</v>
      </c>
      <c r="AB572" s="90">
        <v>0.5</v>
      </c>
      <c r="AC572" s="90">
        <v>0.5</v>
      </c>
      <c r="AD572" s="90">
        <v>0.5</v>
      </c>
      <c r="AE572" s="90">
        <v>0.5</v>
      </c>
      <c r="AF572" s="90">
        <v>0.5</v>
      </c>
      <c r="AG572" s="90">
        <v>0.5</v>
      </c>
      <c r="AH572" s="90">
        <v>0.5</v>
      </c>
      <c r="AI572" s="90">
        <v>0.5</v>
      </c>
      <c r="AJ572" s="90">
        <v>0.5</v>
      </c>
      <c r="AK572" s="90">
        <v>0.5</v>
      </c>
      <c r="AL572" s="90">
        <v>0.5</v>
      </c>
      <c r="AM572" s="90">
        <v>0.5</v>
      </c>
    </row>
    <row r="573" ht="20.25" hidden="1" customHeight="1" spans="3:39">
      <c r="C573" s="251"/>
      <c r="D573" s="251"/>
      <c r="E573" s="261"/>
      <c r="F573" s="261"/>
      <c r="G573" s="262"/>
      <c r="H573" s="264" t="s">
        <v>109</v>
      </c>
      <c r="I573" s="88" t="e">
        <f>SUM(J573:AM573)</f>
        <v>#REF!</v>
      </c>
      <c r="J573" s="88" t="e">
        <f>SUMIFS(#REF!,#REF!,$D$571,#REF!,$G571,#REF!,J$480)</f>
        <v>#REF!</v>
      </c>
      <c r="K573" s="88" t="e">
        <f>SUMIFS(#REF!,#REF!,$D$571,#REF!,$G571,#REF!,K$480)</f>
        <v>#REF!</v>
      </c>
      <c r="L573" s="88" t="e">
        <f>SUMIFS(#REF!,#REF!,$D$571,#REF!,$G571,#REF!,L$480)</f>
        <v>#REF!</v>
      </c>
      <c r="M573" s="88" t="e">
        <f>SUMIFS(#REF!,#REF!,$D$571,#REF!,$G571,#REF!,M$480)</f>
        <v>#REF!</v>
      </c>
      <c r="N573" s="88" t="e">
        <f>SUMIFS(#REF!,#REF!,$D$571,#REF!,$G571,#REF!,N$480)</f>
        <v>#REF!</v>
      </c>
      <c r="O573" s="88" t="e">
        <f>SUMIFS(#REF!,#REF!,$D$571,#REF!,$G571,#REF!,O$480)</f>
        <v>#REF!</v>
      </c>
      <c r="P573" s="88" t="e">
        <f>SUMIFS(#REF!,#REF!,$D$571,#REF!,$G571,#REF!,P$480)</f>
        <v>#REF!</v>
      </c>
      <c r="Q573" s="88" t="e">
        <f>SUMIFS(#REF!,#REF!,$D$571,#REF!,$G571,#REF!,Q$480)</f>
        <v>#REF!</v>
      </c>
      <c r="R573" s="88" t="e">
        <f>SUMIFS(#REF!,#REF!,$D$571,#REF!,$G571,#REF!,R$480)</f>
        <v>#REF!</v>
      </c>
      <c r="S573" s="88" t="e">
        <f>SUMIFS(#REF!,#REF!,$D$571,#REF!,$G571,#REF!,S$480)</f>
        <v>#REF!</v>
      </c>
      <c r="T573" s="88" t="e">
        <f>SUMIFS(#REF!,#REF!,$D$571,#REF!,$G571,#REF!,T$480)</f>
        <v>#REF!</v>
      </c>
      <c r="U573" s="88" t="e">
        <f>SUMIFS(#REF!,#REF!,$D$571,#REF!,$G571,#REF!,U$480)</f>
        <v>#REF!</v>
      </c>
      <c r="V573" s="88" t="e">
        <f>SUMIFS(#REF!,#REF!,$D$571,#REF!,$G571,#REF!,V$480)</f>
        <v>#REF!</v>
      </c>
      <c r="W573" s="88" t="e">
        <f>SUMIFS(#REF!,#REF!,$D$571,#REF!,$G571,#REF!,W$480)</f>
        <v>#REF!</v>
      </c>
      <c r="X573" s="88" t="e">
        <f>SUMIFS(#REF!,#REF!,$D$571,#REF!,$G571,#REF!,X$480)</f>
        <v>#REF!</v>
      </c>
      <c r="Y573" s="88" t="e">
        <f>SUMIFS(#REF!,#REF!,$D$571,#REF!,$G571,#REF!,Y$480)</f>
        <v>#REF!</v>
      </c>
      <c r="Z573" s="88" t="e">
        <f>SUMIFS(#REF!,#REF!,$D$571,#REF!,$G571,#REF!,Z$480)</f>
        <v>#REF!</v>
      </c>
      <c r="AA573" s="88" t="e">
        <f>SUMIFS(#REF!,#REF!,$D$571,#REF!,$G571,#REF!,AA$480)</f>
        <v>#REF!</v>
      </c>
      <c r="AB573" s="88" t="e">
        <f>SUMIFS(#REF!,#REF!,$D$571,#REF!,$G571,#REF!,AB$480)</f>
        <v>#REF!</v>
      </c>
      <c r="AC573" s="88" t="e">
        <f>SUMIFS(#REF!,#REF!,$D$571,#REF!,$G571,#REF!,AC$480)</f>
        <v>#REF!</v>
      </c>
      <c r="AD573" s="88" t="e">
        <f>SUMIFS(#REF!,#REF!,$D$571,#REF!,$G571,#REF!,AD$480)</f>
        <v>#REF!</v>
      </c>
      <c r="AE573" s="88" t="e">
        <f>SUMIFS(#REF!,#REF!,$D$571,#REF!,$G571,#REF!,AE$480)</f>
        <v>#REF!</v>
      </c>
      <c r="AF573" s="88" t="e">
        <f>SUMIFS(#REF!,#REF!,$D$571,#REF!,$G571,#REF!,AF$480)</f>
        <v>#REF!</v>
      </c>
      <c r="AG573" s="88" t="e">
        <f>SUMIFS(#REF!,#REF!,$D$571,#REF!,$G571,#REF!,AG$480)</f>
        <v>#REF!</v>
      </c>
      <c r="AH573" s="88" t="e">
        <f>SUMIFS(#REF!,#REF!,$D$571,#REF!,$G571,#REF!,AH$480)</f>
        <v>#REF!</v>
      </c>
      <c r="AI573" s="88" t="e">
        <f>SUMIFS(#REF!,#REF!,$D$571,#REF!,$G571,#REF!,AI$480)</f>
        <v>#REF!</v>
      </c>
      <c r="AJ573" s="88" t="e">
        <f>SUMIFS(#REF!,#REF!,$D$571,#REF!,$G571,#REF!,AJ$480)</f>
        <v>#REF!</v>
      </c>
      <c r="AK573" s="88" t="e">
        <f>SUMIFS(#REF!,#REF!,$D$571,#REF!,$G571,#REF!,AK$480)</f>
        <v>#REF!</v>
      </c>
      <c r="AL573" s="88" t="e">
        <f>SUMIFS(#REF!,#REF!,$D$571,#REF!,$G571,#REF!,AL$480)</f>
        <v>#REF!</v>
      </c>
      <c r="AM573" s="88" t="e">
        <f>SUMIFS(#REF!,#REF!,$D$571,#REF!,$G571,#REF!,AM$480)</f>
        <v>#REF!</v>
      </c>
    </row>
    <row r="574" ht="20.25" hidden="1" customHeight="1" spans="3:39">
      <c r="C574" s="251"/>
      <c r="D574" s="251"/>
      <c r="E574" s="261"/>
      <c r="F574" s="261"/>
      <c r="G574" s="262"/>
      <c r="H574" s="264" t="s">
        <v>110</v>
      </c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</row>
    <row r="575" ht="20.25" hidden="1" customHeight="1" spans="3:39">
      <c r="C575" s="251"/>
      <c r="D575" s="251"/>
      <c r="E575" s="261"/>
      <c r="F575" s="261"/>
      <c r="G575" s="262"/>
      <c r="H575" s="264" t="s">
        <v>111</v>
      </c>
      <c r="I575" s="90" t="e">
        <f t="shared" ref="I575:AM575" si="224">I573/I571</f>
        <v>#REF!</v>
      </c>
      <c r="J575" s="90" t="e">
        <f t="shared" si="224"/>
        <v>#REF!</v>
      </c>
      <c r="K575" s="90" t="e">
        <f t="shared" si="224"/>
        <v>#REF!</v>
      </c>
      <c r="L575" s="90" t="e">
        <f t="shared" si="224"/>
        <v>#REF!</v>
      </c>
      <c r="M575" s="90" t="e">
        <f t="shared" si="224"/>
        <v>#REF!</v>
      </c>
      <c r="N575" s="90" t="e">
        <f t="shared" si="224"/>
        <v>#REF!</v>
      </c>
      <c r="O575" s="90" t="e">
        <f t="shared" si="224"/>
        <v>#REF!</v>
      </c>
      <c r="P575" s="90" t="e">
        <f t="shared" si="224"/>
        <v>#REF!</v>
      </c>
      <c r="Q575" s="90" t="e">
        <f t="shared" si="224"/>
        <v>#REF!</v>
      </c>
      <c r="R575" s="90" t="e">
        <f t="shared" si="224"/>
        <v>#REF!</v>
      </c>
      <c r="S575" s="90" t="e">
        <f t="shared" si="224"/>
        <v>#REF!</v>
      </c>
      <c r="T575" s="90" t="e">
        <f t="shared" si="224"/>
        <v>#REF!</v>
      </c>
      <c r="U575" s="90" t="e">
        <f t="shared" si="224"/>
        <v>#REF!</v>
      </c>
      <c r="V575" s="90" t="e">
        <f t="shared" si="224"/>
        <v>#REF!</v>
      </c>
      <c r="W575" s="90" t="e">
        <f t="shared" si="224"/>
        <v>#REF!</v>
      </c>
      <c r="X575" s="90" t="e">
        <f t="shared" si="224"/>
        <v>#REF!</v>
      </c>
      <c r="Y575" s="90" t="e">
        <f t="shared" si="224"/>
        <v>#REF!</v>
      </c>
      <c r="Z575" s="90" t="e">
        <f t="shared" si="224"/>
        <v>#REF!</v>
      </c>
      <c r="AA575" s="90" t="e">
        <f t="shared" si="224"/>
        <v>#REF!</v>
      </c>
      <c r="AB575" s="90" t="e">
        <f t="shared" si="224"/>
        <v>#REF!</v>
      </c>
      <c r="AC575" s="90" t="e">
        <f t="shared" si="224"/>
        <v>#REF!</v>
      </c>
      <c r="AD575" s="90" t="e">
        <f t="shared" si="224"/>
        <v>#REF!</v>
      </c>
      <c r="AE575" s="90" t="e">
        <f t="shared" si="224"/>
        <v>#REF!</v>
      </c>
      <c r="AF575" s="90" t="e">
        <f t="shared" si="224"/>
        <v>#REF!</v>
      </c>
      <c r="AG575" s="90" t="e">
        <f t="shared" si="224"/>
        <v>#REF!</v>
      </c>
      <c r="AH575" s="90" t="e">
        <f t="shared" si="224"/>
        <v>#REF!</v>
      </c>
      <c r="AI575" s="90" t="e">
        <f t="shared" si="224"/>
        <v>#REF!</v>
      </c>
      <c r="AJ575" s="90" t="e">
        <f t="shared" si="224"/>
        <v>#REF!</v>
      </c>
      <c r="AK575" s="90" t="e">
        <f t="shared" si="224"/>
        <v>#REF!</v>
      </c>
      <c r="AL575" s="90" t="e">
        <f t="shared" si="224"/>
        <v>#REF!</v>
      </c>
      <c r="AM575" s="90" t="e">
        <f t="shared" si="224"/>
        <v>#REF!</v>
      </c>
    </row>
    <row r="576" ht="20.25" hidden="1" customHeight="1" spans="3:39">
      <c r="C576" s="251"/>
      <c r="D576" s="251"/>
      <c r="E576" s="261"/>
      <c r="F576" s="261"/>
      <c r="G576" s="259" t="s">
        <v>116</v>
      </c>
      <c r="H576" s="264" t="s">
        <v>107</v>
      </c>
      <c r="I576" s="88">
        <v>25503</v>
      </c>
      <c r="J576" s="88">
        <v>1021</v>
      </c>
      <c r="K576" s="88">
        <v>980</v>
      </c>
      <c r="L576" s="88">
        <v>980</v>
      </c>
      <c r="M576" s="88">
        <v>766</v>
      </c>
      <c r="N576" s="88">
        <v>707</v>
      </c>
      <c r="O576" s="88">
        <v>640</v>
      </c>
      <c r="P576" s="88">
        <v>691</v>
      </c>
      <c r="Q576" s="88">
        <v>688</v>
      </c>
      <c r="R576" s="88">
        <v>710</v>
      </c>
      <c r="S576" s="88">
        <v>730</v>
      </c>
      <c r="T576" s="88">
        <v>730</v>
      </c>
      <c r="U576" s="88">
        <v>707</v>
      </c>
      <c r="V576" s="88">
        <v>727</v>
      </c>
      <c r="W576" s="88">
        <v>932</v>
      </c>
      <c r="X576" s="88">
        <v>948</v>
      </c>
      <c r="Y576" s="88">
        <v>1173</v>
      </c>
      <c r="Z576" s="88">
        <v>1468</v>
      </c>
      <c r="AA576" s="88">
        <v>3056</v>
      </c>
      <c r="AB576" s="88">
        <v>1188</v>
      </c>
      <c r="AC576" s="88">
        <v>977</v>
      </c>
      <c r="AD576" s="88">
        <v>555</v>
      </c>
      <c r="AE576" s="88">
        <v>555</v>
      </c>
      <c r="AF576" s="88">
        <v>558</v>
      </c>
      <c r="AG576" s="88">
        <v>581</v>
      </c>
      <c r="AH576" s="88">
        <v>558</v>
      </c>
      <c r="AI576" s="88">
        <v>603</v>
      </c>
      <c r="AJ576" s="88">
        <v>516</v>
      </c>
      <c r="AK576" s="88">
        <v>590</v>
      </c>
      <c r="AL576" s="88">
        <v>584</v>
      </c>
      <c r="AM576" s="88">
        <v>584</v>
      </c>
    </row>
    <row r="577" ht="20.25" hidden="1" customHeight="1" spans="3:39">
      <c r="C577" s="251"/>
      <c r="D577" s="251"/>
      <c r="E577" s="261"/>
      <c r="F577" s="261"/>
      <c r="G577" s="262"/>
      <c r="H577" s="264" t="s">
        <v>108</v>
      </c>
      <c r="I577" s="90">
        <v>0.3</v>
      </c>
      <c r="J577" s="90">
        <v>0.3</v>
      </c>
      <c r="K577" s="90">
        <v>0.3</v>
      </c>
      <c r="L577" s="90">
        <v>0.3</v>
      </c>
      <c r="M577" s="90">
        <v>0.3</v>
      </c>
      <c r="N577" s="90">
        <v>0.3</v>
      </c>
      <c r="O577" s="90">
        <v>0.3</v>
      </c>
      <c r="P577" s="90">
        <v>0.3</v>
      </c>
      <c r="Q577" s="90">
        <v>0.3</v>
      </c>
      <c r="R577" s="90">
        <v>0.3</v>
      </c>
      <c r="S577" s="90">
        <v>0.3</v>
      </c>
      <c r="T577" s="90">
        <v>0.3</v>
      </c>
      <c r="U577" s="90">
        <v>0.3</v>
      </c>
      <c r="V577" s="90">
        <v>0.3</v>
      </c>
      <c r="W577" s="90">
        <v>0.3</v>
      </c>
      <c r="X577" s="90">
        <v>0.3</v>
      </c>
      <c r="Y577" s="90">
        <v>0.3</v>
      </c>
      <c r="Z577" s="90">
        <v>0.3</v>
      </c>
      <c r="AA577" s="90">
        <v>0.3</v>
      </c>
      <c r="AB577" s="90">
        <v>0.3</v>
      </c>
      <c r="AC577" s="90">
        <v>0.3</v>
      </c>
      <c r="AD577" s="90">
        <v>0.3</v>
      </c>
      <c r="AE577" s="90">
        <v>0.3</v>
      </c>
      <c r="AF577" s="90">
        <v>0.3</v>
      </c>
      <c r="AG577" s="90">
        <v>0.3</v>
      </c>
      <c r="AH577" s="90">
        <v>0.3</v>
      </c>
      <c r="AI577" s="90">
        <v>0.3</v>
      </c>
      <c r="AJ577" s="90">
        <v>0.3</v>
      </c>
      <c r="AK577" s="90">
        <v>0.3</v>
      </c>
      <c r="AL577" s="90">
        <v>0.3</v>
      </c>
      <c r="AM577" s="90">
        <v>0.3</v>
      </c>
    </row>
    <row r="578" ht="20.25" hidden="1" customHeight="1" spans="3:39">
      <c r="C578" s="251"/>
      <c r="D578" s="251"/>
      <c r="E578" s="261"/>
      <c r="F578" s="261"/>
      <c r="G578" s="262"/>
      <c r="H578" s="264" t="s">
        <v>109</v>
      </c>
      <c r="I578" s="88" t="e">
        <f>SUM(J578:AM578)</f>
        <v>#REF!</v>
      </c>
      <c r="J578" s="88" t="e">
        <f>SUMIFS(#REF!,#REF!,$D$571,#REF!,$G576,#REF!,J$480)</f>
        <v>#REF!</v>
      </c>
      <c r="K578" s="88" t="e">
        <f>SUMIFS(#REF!,#REF!,$D$571,#REF!,$G576,#REF!,K$480)</f>
        <v>#REF!</v>
      </c>
      <c r="L578" s="88" t="e">
        <f>SUMIFS(#REF!,#REF!,$D$571,#REF!,$G576,#REF!,L$480)</f>
        <v>#REF!</v>
      </c>
      <c r="M578" s="88" t="e">
        <f>SUMIFS(#REF!,#REF!,$D$571,#REF!,$G576,#REF!,M$480)</f>
        <v>#REF!</v>
      </c>
      <c r="N578" s="88" t="e">
        <f>SUMIFS(#REF!,#REF!,$D$571,#REF!,$G576,#REF!,N$480)</f>
        <v>#REF!</v>
      </c>
      <c r="O578" s="88" t="e">
        <f>SUMIFS(#REF!,#REF!,$D$571,#REF!,$G576,#REF!,O$480)</f>
        <v>#REF!</v>
      </c>
      <c r="P578" s="88" t="e">
        <f>SUMIFS(#REF!,#REF!,$D$571,#REF!,$G576,#REF!,P$480)</f>
        <v>#REF!</v>
      </c>
      <c r="Q578" s="88" t="e">
        <f>SUMIFS(#REF!,#REF!,$D$571,#REF!,$G576,#REF!,Q$480)</f>
        <v>#REF!</v>
      </c>
      <c r="R578" s="88" t="e">
        <f>SUMIFS(#REF!,#REF!,$D$571,#REF!,$G576,#REF!,R$480)</f>
        <v>#REF!</v>
      </c>
      <c r="S578" s="88" t="e">
        <f>SUMIFS(#REF!,#REF!,$D$571,#REF!,$G576,#REF!,S$480)</f>
        <v>#REF!</v>
      </c>
      <c r="T578" s="88" t="e">
        <f>SUMIFS(#REF!,#REF!,$D$571,#REF!,$G576,#REF!,T$480)</f>
        <v>#REF!</v>
      </c>
      <c r="U578" s="88" t="e">
        <f>SUMIFS(#REF!,#REF!,$D$571,#REF!,$G576,#REF!,U$480)</f>
        <v>#REF!</v>
      </c>
      <c r="V578" s="88" t="e">
        <f>SUMIFS(#REF!,#REF!,$D$571,#REF!,$G576,#REF!,V$480)</f>
        <v>#REF!</v>
      </c>
      <c r="W578" s="88" t="e">
        <f>SUMIFS(#REF!,#REF!,$D$571,#REF!,$G576,#REF!,W$480)</f>
        <v>#REF!</v>
      </c>
      <c r="X578" s="88" t="e">
        <f>SUMIFS(#REF!,#REF!,$D$571,#REF!,$G576,#REF!,X$480)</f>
        <v>#REF!</v>
      </c>
      <c r="Y578" s="88" t="e">
        <f>SUMIFS(#REF!,#REF!,$D$571,#REF!,$G576,#REF!,Y$480)</f>
        <v>#REF!</v>
      </c>
      <c r="Z578" s="88" t="e">
        <f>SUMIFS(#REF!,#REF!,$D$571,#REF!,$G576,#REF!,Z$480)</f>
        <v>#REF!</v>
      </c>
      <c r="AA578" s="88" t="e">
        <f>SUMIFS(#REF!,#REF!,$D$571,#REF!,$G576,#REF!,AA$480)</f>
        <v>#REF!</v>
      </c>
      <c r="AB578" s="88" t="e">
        <f>SUMIFS(#REF!,#REF!,$D$571,#REF!,$G576,#REF!,AB$480)</f>
        <v>#REF!</v>
      </c>
      <c r="AC578" s="88" t="e">
        <f>SUMIFS(#REF!,#REF!,$D$571,#REF!,$G576,#REF!,AC$480)</f>
        <v>#REF!</v>
      </c>
      <c r="AD578" s="88" t="e">
        <f>SUMIFS(#REF!,#REF!,$D$571,#REF!,$G576,#REF!,AD$480)</f>
        <v>#REF!</v>
      </c>
      <c r="AE578" s="88" t="e">
        <f>SUMIFS(#REF!,#REF!,$D$571,#REF!,$G576,#REF!,AE$480)</f>
        <v>#REF!</v>
      </c>
      <c r="AF578" s="88" t="e">
        <f>SUMIFS(#REF!,#REF!,$D$571,#REF!,$G576,#REF!,AF$480)</f>
        <v>#REF!</v>
      </c>
      <c r="AG578" s="88" t="e">
        <f>SUMIFS(#REF!,#REF!,$D$571,#REF!,$G576,#REF!,AG$480)</f>
        <v>#REF!</v>
      </c>
      <c r="AH578" s="88" t="e">
        <f>SUMIFS(#REF!,#REF!,$D$571,#REF!,$G576,#REF!,AH$480)</f>
        <v>#REF!</v>
      </c>
      <c r="AI578" s="88" t="e">
        <f>SUMIFS(#REF!,#REF!,$D$571,#REF!,$G576,#REF!,AI$480)</f>
        <v>#REF!</v>
      </c>
      <c r="AJ578" s="88" t="e">
        <f>SUMIFS(#REF!,#REF!,$D$571,#REF!,$G576,#REF!,AJ$480)</f>
        <v>#REF!</v>
      </c>
      <c r="AK578" s="88" t="e">
        <f>SUMIFS(#REF!,#REF!,$D$571,#REF!,$G576,#REF!,AK$480)</f>
        <v>#REF!</v>
      </c>
      <c r="AL578" s="88" t="e">
        <f>SUMIFS(#REF!,#REF!,$D$571,#REF!,$G576,#REF!,AL$480)</f>
        <v>#REF!</v>
      </c>
      <c r="AM578" s="88" t="e">
        <f>SUMIFS(#REF!,#REF!,$D$571,#REF!,$G576,#REF!,AM$480)</f>
        <v>#REF!</v>
      </c>
    </row>
    <row r="579" ht="20.25" hidden="1" customHeight="1" spans="3:39">
      <c r="C579" s="251"/>
      <c r="D579" s="251"/>
      <c r="E579" s="261"/>
      <c r="F579" s="261"/>
      <c r="G579" s="262"/>
      <c r="H579" s="264" t="s">
        <v>110</v>
      </c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</row>
    <row r="580" ht="20.25" hidden="1" customHeight="1" spans="3:39">
      <c r="C580" s="251"/>
      <c r="D580" s="251"/>
      <c r="E580" s="261"/>
      <c r="F580" s="261"/>
      <c r="G580" s="262"/>
      <c r="H580" s="264" t="s">
        <v>111</v>
      </c>
      <c r="I580" s="90" t="e">
        <f t="shared" ref="I580:AM580" si="225">I578/I576</f>
        <v>#REF!</v>
      </c>
      <c r="J580" s="90" t="e">
        <f t="shared" si="225"/>
        <v>#REF!</v>
      </c>
      <c r="K580" s="90" t="e">
        <f t="shared" si="225"/>
        <v>#REF!</v>
      </c>
      <c r="L580" s="90" t="e">
        <f t="shared" si="225"/>
        <v>#REF!</v>
      </c>
      <c r="M580" s="90" t="e">
        <f t="shared" si="225"/>
        <v>#REF!</v>
      </c>
      <c r="N580" s="90" t="e">
        <f t="shared" si="225"/>
        <v>#REF!</v>
      </c>
      <c r="O580" s="90" t="e">
        <f t="shared" si="225"/>
        <v>#REF!</v>
      </c>
      <c r="P580" s="90" t="e">
        <f t="shared" si="225"/>
        <v>#REF!</v>
      </c>
      <c r="Q580" s="90" t="e">
        <f t="shared" si="225"/>
        <v>#REF!</v>
      </c>
      <c r="R580" s="90" t="e">
        <f t="shared" si="225"/>
        <v>#REF!</v>
      </c>
      <c r="S580" s="90" t="e">
        <f t="shared" si="225"/>
        <v>#REF!</v>
      </c>
      <c r="T580" s="90" t="e">
        <f t="shared" si="225"/>
        <v>#REF!</v>
      </c>
      <c r="U580" s="90" t="e">
        <f t="shared" si="225"/>
        <v>#REF!</v>
      </c>
      <c r="V580" s="90" t="e">
        <f t="shared" si="225"/>
        <v>#REF!</v>
      </c>
      <c r="W580" s="90" t="e">
        <f t="shared" si="225"/>
        <v>#REF!</v>
      </c>
      <c r="X580" s="90" t="e">
        <f t="shared" si="225"/>
        <v>#REF!</v>
      </c>
      <c r="Y580" s="90" t="e">
        <f t="shared" si="225"/>
        <v>#REF!</v>
      </c>
      <c r="Z580" s="90" t="e">
        <f t="shared" si="225"/>
        <v>#REF!</v>
      </c>
      <c r="AA580" s="90" t="e">
        <f t="shared" si="225"/>
        <v>#REF!</v>
      </c>
      <c r="AB580" s="90" t="e">
        <f t="shared" si="225"/>
        <v>#REF!</v>
      </c>
      <c r="AC580" s="90" t="e">
        <f t="shared" si="225"/>
        <v>#REF!</v>
      </c>
      <c r="AD580" s="90" t="e">
        <f t="shared" si="225"/>
        <v>#REF!</v>
      </c>
      <c r="AE580" s="90" t="e">
        <f t="shared" si="225"/>
        <v>#REF!</v>
      </c>
      <c r="AF580" s="90" t="e">
        <f t="shared" si="225"/>
        <v>#REF!</v>
      </c>
      <c r="AG580" s="90" t="e">
        <f t="shared" si="225"/>
        <v>#REF!</v>
      </c>
      <c r="AH580" s="90" t="e">
        <f t="shared" si="225"/>
        <v>#REF!</v>
      </c>
      <c r="AI580" s="90" t="e">
        <f t="shared" si="225"/>
        <v>#REF!</v>
      </c>
      <c r="AJ580" s="90" t="e">
        <f t="shared" si="225"/>
        <v>#REF!</v>
      </c>
      <c r="AK580" s="90" t="e">
        <f t="shared" si="225"/>
        <v>#REF!</v>
      </c>
      <c r="AL580" s="90" t="e">
        <f t="shared" si="225"/>
        <v>#REF!</v>
      </c>
      <c r="AM580" s="90" t="e">
        <f t="shared" si="225"/>
        <v>#REF!</v>
      </c>
    </row>
    <row r="581" ht="20.25" hidden="1" customHeight="1" spans="3:39">
      <c r="C581" s="251"/>
      <c r="D581" s="251"/>
      <c r="E581" s="261"/>
      <c r="F581" s="261"/>
      <c r="G581" s="259" t="s">
        <v>117</v>
      </c>
      <c r="H581" s="264" t="s">
        <v>107</v>
      </c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</row>
    <row r="582" ht="20.25" hidden="1" customHeight="1" spans="3:39">
      <c r="C582" s="251"/>
      <c r="D582" s="251"/>
      <c r="E582" s="261"/>
      <c r="F582" s="261"/>
      <c r="G582" s="262"/>
      <c r="H582" s="264" t="s">
        <v>108</v>
      </c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</row>
    <row r="583" ht="20.25" hidden="1" customHeight="1" spans="3:39">
      <c r="C583" s="251"/>
      <c r="D583" s="251"/>
      <c r="E583" s="261"/>
      <c r="F583" s="261"/>
      <c r="G583" s="262"/>
      <c r="H583" s="264" t="s">
        <v>109</v>
      </c>
      <c r="I583" s="88" t="e">
        <f>SUM(J583:AM583)</f>
        <v>#REF!</v>
      </c>
      <c r="J583" s="88" t="e">
        <f>SUMIFS(#REF!,#REF!,$D$571,#REF!,$G581,#REF!,J$480)</f>
        <v>#REF!</v>
      </c>
      <c r="K583" s="88" t="e">
        <f>SUMIFS(#REF!,#REF!,$D$571,#REF!,$G581,#REF!,K$480)</f>
        <v>#REF!</v>
      </c>
      <c r="L583" s="88" t="e">
        <f>SUMIFS(#REF!,#REF!,$D$571,#REF!,$G581,#REF!,L$480)</f>
        <v>#REF!</v>
      </c>
      <c r="M583" s="88" t="e">
        <f>SUMIFS(#REF!,#REF!,$D$571,#REF!,$G581,#REF!,M$480)</f>
        <v>#REF!</v>
      </c>
      <c r="N583" s="88" t="e">
        <f>SUMIFS(#REF!,#REF!,$D$571,#REF!,$G581,#REF!,N$480)</f>
        <v>#REF!</v>
      </c>
      <c r="O583" s="88" t="e">
        <f>SUMIFS(#REF!,#REF!,$D$571,#REF!,$G581,#REF!,O$480)</f>
        <v>#REF!</v>
      </c>
      <c r="P583" s="88" t="e">
        <f>SUMIFS(#REF!,#REF!,$D$571,#REF!,$G581,#REF!,P$480)</f>
        <v>#REF!</v>
      </c>
      <c r="Q583" s="88" t="e">
        <f>SUMIFS(#REF!,#REF!,$D$571,#REF!,$G581,#REF!,Q$480)</f>
        <v>#REF!</v>
      </c>
      <c r="R583" s="88" t="e">
        <f>SUMIFS(#REF!,#REF!,$D$571,#REF!,$G581,#REF!,R$480)</f>
        <v>#REF!</v>
      </c>
      <c r="S583" s="88" t="e">
        <f>SUMIFS(#REF!,#REF!,$D$571,#REF!,$G581,#REF!,S$480)</f>
        <v>#REF!</v>
      </c>
      <c r="T583" s="88" t="e">
        <f>SUMIFS(#REF!,#REF!,$D$571,#REF!,$G581,#REF!,T$480)</f>
        <v>#REF!</v>
      </c>
      <c r="U583" s="88" t="e">
        <f>SUMIFS(#REF!,#REF!,$D$571,#REF!,$G581,#REF!,U$480)</f>
        <v>#REF!</v>
      </c>
      <c r="V583" s="88" t="e">
        <f>SUMIFS(#REF!,#REF!,$D$571,#REF!,$G581,#REF!,V$480)</f>
        <v>#REF!</v>
      </c>
      <c r="W583" s="88" t="e">
        <f>SUMIFS(#REF!,#REF!,$D$571,#REF!,$G581,#REF!,W$480)</f>
        <v>#REF!</v>
      </c>
      <c r="X583" s="88" t="e">
        <f>SUMIFS(#REF!,#REF!,$D$571,#REF!,$G581,#REF!,X$480)</f>
        <v>#REF!</v>
      </c>
      <c r="Y583" s="88" t="e">
        <f>SUMIFS(#REF!,#REF!,$D$571,#REF!,$G581,#REF!,Y$480)</f>
        <v>#REF!</v>
      </c>
      <c r="Z583" s="88" t="e">
        <f>SUMIFS(#REF!,#REF!,$D$571,#REF!,$G581,#REF!,Z$480)</f>
        <v>#REF!</v>
      </c>
      <c r="AA583" s="88" t="e">
        <f>SUMIFS(#REF!,#REF!,$D$571,#REF!,$G581,#REF!,AA$480)</f>
        <v>#REF!</v>
      </c>
      <c r="AB583" s="88" t="e">
        <f>SUMIFS(#REF!,#REF!,$D$571,#REF!,$G581,#REF!,AB$480)</f>
        <v>#REF!</v>
      </c>
      <c r="AC583" s="88" t="e">
        <f>SUMIFS(#REF!,#REF!,$D$571,#REF!,$G581,#REF!,AC$480)</f>
        <v>#REF!</v>
      </c>
      <c r="AD583" s="88" t="e">
        <f>SUMIFS(#REF!,#REF!,$D$571,#REF!,$G581,#REF!,AD$480)</f>
        <v>#REF!</v>
      </c>
      <c r="AE583" s="88" t="e">
        <f>SUMIFS(#REF!,#REF!,$D$571,#REF!,$G581,#REF!,AE$480)</f>
        <v>#REF!</v>
      </c>
      <c r="AF583" s="88" t="e">
        <f>SUMIFS(#REF!,#REF!,$D$571,#REF!,$G581,#REF!,AF$480)</f>
        <v>#REF!</v>
      </c>
      <c r="AG583" s="88" t="e">
        <f>SUMIFS(#REF!,#REF!,$D$571,#REF!,$G581,#REF!,AG$480)</f>
        <v>#REF!</v>
      </c>
      <c r="AH583" s="88" t="e">
        <f>SUMIFS(#REF!,#REF!,$D$571,#REF!,$G581,#REF!,AH$480)</f>
        <v>#REF!</v>
      </c>
      <c r="AI583" s="88" t="e">
        <f>SUMIFS(#REF!,#REF!,$D$571,#REF!,$G581,#REF!,AI$480)</f>
        <v>#REF!</v>
      </c>
      <c r="AJ583" s="88" t="e">
        <f>SUMIFS(#REF!,#REF!,$D$571,#REF!,$G581,#REF!,AJ$480)</f>
        <v>#REF!</v>
      </c>
      <c r="AK583" s="88" t="e">
        <f>SUMIFS(#REF!,#REF!,$D$571,#REF!,$G581,#REF!,AK$480)</f>
        <v>#REF!</v>
      </c>
      <c r="AL583" s="88" t="e">
        <f>SUMIFS(#REF!,#REF!,$D$571,#REF!,$G581,#REF!,AL$480)</f>
        <v>#REF!</v>
      </c>
      <c r="AM583" s="88" t="e">
        <f>SUMIFS(#REF!,#REF!,$D$571,#REF!,$G581,#REF!,AM$480)</f>
        <v>#REF!</v>
      </c>
    </row>
    <row r="584" ht="20.25" hidden="1" customHeight="1" spans="3:39">
      <c r="C584" s="251"/>
      <c r="D584" s="251"/>
      <c r="E584" s="261"/>
      <c r="F584" s="261"/>
      <c r="G584" s="262"/>
      <c r="H584" s="264" t="s">
        <v>110</v>
      </c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</row>
    <row r="585" ht="20.25" hidden="1" customHeight="1" spans="3:39">
      <c r="C585" s="251"/>
      <c r="D585" s="251"/>
      <c r="E585" s="261"/>
      <c r="F585" s="261"/>
      <c r="G585" s="262"/>
      <c r="H585" s="264" t="s">
        <v>111</v>
      </c>
      <c r="I585" s="90" t="e">
        <f t="shared" ref="I585:AM585" si="226">I583/I581</f>
        <v>#REF!</v>
      </c>
      <c r="J585" s="90" t="e">
        <f t="shared" si="226"/>
        <v>#REF!</v>
      </c>
      <c r="K585" s="90" t="e">
        <f t="shared" si="226"/>
        <v>#REF!</v>
      </c>
      <c r="L585" s="90" t="e">
        <f t="shared" si="226"/>
        <v>#REF!</v>
      </c>
      <c r="M585" s="90" t="e">
        <f t="shared" si="226"/>
        <v>#REF!</v>
      </c>
      <c r="N585" s="90" t="e">
        <f t="shared" si="226"/>
        <v>#REF!</v>
      </c>
      <c r="O585" s="90" t="e">
        <f t="shared" si="226"/>
        <v>#REF!</v>
      </c>
      <c r="P585" s="90" t="e">
        <f t="shared" si="226"/>
        <v>#REF!</v>
      </c>
      <c r="Q585" s="90" t="e">
        <f t="shared" si="226"/>
        <v>#REF!</v>
      </c>
      <c r="R585" s="90" t="e">
        <f t="shared" si="226"/>
        <v>#REF!</v>
      </c>
      <c r="S585" s="90" t="e">
        <f t="shared" si="226"/>
        <v>#REF!</v>
      </c>
      <c r="T585" s="90" t="e">
        <f t="shared" si="226"/>
        <v>#REF!</v>
      </c>
      <c r="U585" s="90" t="e">
        <f t="shared" si="226"/>
        <v>#REF!</v>
      </c>
      <c r="V585" s="90" t="e">
        <f t="shared" si="226"/>
        <v>#REF!</v>
      </c>
      <c r="W585" s="90" t="e">
        <f t="shared" si="226"/>
        <v>#REF!</v>
      </c>
      <c r="X585" s="90" t="e">
        <f t="shared" si="226"/>
        <v>#REF!</v>
      </c>
      <c r="Y585" s="90" t="e">
        <f t="shared" si="226"/>
        <v>#REF!</v>
      </c>
      <c r="Z585" s="90" t="e">
        <f t="shared" si="226"/>
        <v>#REF!</v>
      </c>
      <c r="AA585" s="90" t="e">
        <f t="shared" si="226"/>
        <v>#REF!</v>
      </c>
      <c r="AB585" s="90" t="e">
        <f t="shared" si="226"/>
        <v>#REF!</v>
      </c>
      <c r="AC585" s="90" t="e">
        <f t="shared" si="226"/>
        <v>#REF!</v>
      </c>
      <c r="AD585" s="90" t="e">
        <f t="shared" si="226"/>
        <v>#REF!</v>
      </c>
      <c r="AE585" s="90" t="e">
        <f t="shared" si="226"/>
        <v>#REF!</v>
      </c>
      <c r="AF585" s="90" t="e">
        <f t="shared" si="226"/>
        <v>#REF!</v>
      </c>
      <c r="AG585" s="90" t="e">
        <f t="shared" si="226"/>
        <v>#REF!</v>
      </c>
      <c r="AH585" s="90" t="e">
        <f t="shared" si="226"/>
        <v>#REF!</v>
      </c>
      <c r="AI585" s="90" t="e">
        <f t="shared" si="226"/>
        <v>#REF!</v>
      </c>
      <c r="AJ585" s="90" t="e">
        <f t="shared" si="226"/>
        <v>#REF!</v>
      </c>
      <c r="AK585" s="90" t="e">
        <f t="shared" si="226"/>
        <v>#REF!</v>
      </c>
      <c r="AL585" s="90" t="e">
        <f t="shared" si="226"/>
        <v>#REF!</v>
      </c>
      <c r="AM585" s="90" t="e">
        <f t="shared" si="226"/>
        <v>#REF!</v>
      </c>
    </row>
    <row r="586" ht="20.25" hidden="1" customHeight="1" spans="3:39">
      <c r="C586" s="251"/>
      <c r="D586" s="251"/>
      <c r="E586" s="261"/>
      <c r="F586" s="261"/>
      <c r="G586" s="259" t="s">
        <v>118</v>
      </c>
      <c r="H586" s="264" t="s">
        <v>107</v>
      </c>
      <c r="I586" s="88">
        <v>17002</v>
      </c>
      <c r="J586" s="88">
        <v>680</v>
      </c>
      <c r="K586" s="88">
        <v>653</v>
      </c>
      <c r="L586" s="88">
        <v>653</v>
      </c>
      <c r="M586" s="88">
        <v>511</v>
      </c>
      <c r="N586" s="88">
        <v>472</v>
      </c>
      <c r="O586" s="88">
        <v>426</v>
      </c>
      <c r="P586" s="88">
        <v>460</v>
      </c>
      <c r="Q586" s="88">
        <v>459</v>
      </c>
      <c r="R586" s="88">
        <v>474</v>
      </c>
      <c r="S586" s="88">
        <v>487</v>
      </c>
      <c r="T586" s="88">
        <v>487</v>
      </c>
      <c r="U586" s="88">
        <v>472</v>
      </c>
      <c r="V586" s="88">
        <v>485</v>
      </c>
      <c r="W586" s="88">
        <v>621</v>
      </c>
      <c r="X586" s="88">
        <v>632</v>
      </c>
      <c r="Y586" s="88">
        <v>782</v>
      </c>
      <c r="Z586" s="88">
        <v>979</v>
      </c>
      <c r="AA586" s="88">
        <v>2037</v>
      </c>
      <c r="AB586" s="88">
        <v>792</v>
      </c>
      <c r="AC586" s="88">
        <v>651</v>
      </c>
      <c r="AD586" s="88">
        <v>370</v>
      </c>
      <c r="AE586" s="88">
        <v>370</v>
      </c>
      <c r="AF586" s="88">
        <v>372</v>
      </c>
      <c r="AG586" s="88">
        <v>387</v>
      </c>
      <c r="AH586" s="88">
        <v>372</v>
      </c>
      <c r="AI586" s="88">
        <v>402</v>
      </c>
      <c r="AJ586" s="88">
        <v>344</v>
      </c>
      <c r="AK586" s="88">
        <v>393</v>
      </c>
      <c r="AL586" s="88">
        <v>389</v>
      </c>
      <c r="AM586" s="88">
        <v>389</v>
      </c>
    </row>
    <row r="587" ht="20.25" hidden="1" customHeight="1" spans="3:39">
      <c r="C587" s="251"/>
      <c r="D587" s="251"/>
      <c r="E587" s="261"/>
      <c r="F587" s="261"/>
      <c r="G587" s="262"/>
      <c r="H587" s="264" t="s">
        <v>108</v>
      </c>
      <c r="I587" s="90">
        <v>0.2</v>
      </c>
      <c r="J587" s="90">
        <v>0.2</v>
      </c>
      <c r="K587" s="90">
        <v>0.2</v>
      </c>
      <c r="L587" s="90">
        <v>0.2</v>
      </c>
      <c r="M587" s="90">
        <v>0.2</v>
      </c>
      <c r="N587" s="90">
        <v>0.2</v>
      </c>
      <c r="O587" s="90">
        <v>0.2</v>
      </c>
      <c r="P587" s="90">
        <v>0.2</v>
      </c>
      <c r="Q587" s="90">
        <v>0.2</v>
      </c>
      <c r="R587" s="90">
        <v>0.2</v>
      </c>
      <c r="S587" s="90">
        <v>0.2</v>
      </c>
      <c r="T587" s="90">
        <v>0.2</v>
      </c>
      <c r="U587" s="90">
        <v>0.2</v>
      </c>
      <c r="V587" s="90">
        <v>0.2</v>
      </c>
      <c r="W587" s="90">
        <v>0.2</v>
      </c>
      <c r="X587" s="90">
        <v>0.2</v>
      </c>
      <c r="Y587" s="90">
        <v>0.2</v>
      </c>
      <c r="Z587" s="90">
        <v>0.2</v>
      </c>
      <c r="AA587" s="90">
        <v>0.2</v>
      </c>
      <c r="AB587" s="90">
        <v>0.2</v>
      </c>
      <c r="AC587" s="90">
        <v>0.2</v>
      </c>
      <c r="AD587" s="90">
        <v>0.2</v>
      </c>
      <c r="AE587" s="90">
        <v>0.2</v>
      </c>
      <c r="AF587" s="90">
        <v>0.2</v>
      </c>
      <c r="AG587" s="90">
        <v>0.2</v>
      </c>
      <c r="AH587" s="90">
        <v>0.2</v>
      </c>
      <c r="AI587" s="90">
        <v>0.2</v>
      </c>
      <c r="AJ587" s="90">
        <v>0.2</v>
      </c>
      <c r="AK587" s="90">
        <v>0.2</v>
      </c>
      <c r="AL587" s="90">
        <v>0.2</v>
      </c>
      <c r="AM587" s="90">
        <v>0.2</v>
      </c>
    </row>
    <row r="588" ht="20.25" hidden="1" customHeight="1" spans="3:39">
      <c r="C588" s="251"/>
      <c r="D588" s="251"/>
      <c r="E588" s="261"/>
      <c r="F588" s="261"/>
      <c r="G588" s="262"/>
      <c r="H588" s="264" t="s">
        <v>109</v>
      </c>
      <c r="I588" s="88" t="e">
        <f>SUM(J588:AM588)</f>
        <v>#REF!</v>
      </c>
      <c r="J588" s="88" t="e">
        <f>SUMIFS(#REF!,#REF!,$D$571,#REF!,$G586,#REF!,J$480)</f>
        <v>#REF!</v>
      </c>
      <c r="K588" s="88" t="e">
        <f>SUMIFS(#REF!,#REF!,$D$571,#REF!,$G586,#REF!,K$480)</f>
        <v>#REF!</v>
      </c>
      <c r="L588" s="88" t="e">
        <f>SUMIFS(#REF!,#REF!,$D$571,#REF!,$G586,#REF!,L$480)</f>
        <v>#REF!</v>
      </c>
      <c r="M588" s="88" t="e">
        <f>SUMIFS(#REF!,#REF!,$D$571,#REF!,$G586,#REF!,M$480)</f>
        <v>#REF!</v>
      </c>
      <c r="N588" s="88" t="e">
        <f>SUMIFS(#REF!,#REF!,$D$571,#REF!,$G586,#REF!,N$480)</f>
        <v>#REF!</v>
      </c>
      <c r="O588" s="88" t="e">
        <f>SUMIFS(#REF!,#REF!,$D$571,#REF!,$G586,#REF!,O$480)</f>
        <v>#REF!</v>
      </c>
      <c r="P588" s="88" t="e">
        <f>SUMIFS(#REF!,#REF!,$D$571,#REF!,$G586,#REF!,P$480)</f>
        <v>#REF!</v>
      </c>
      <c r="Q588" s="88" t="e">
        <f>SUMIFS(#REF!,#REF!,$D$571,#REF!,$G586,#REF!,Q$480)</f>
        <v>#REF!</v>
      </c>
      <c r="R588" s="88" t="e">
        <f>SUMIFS(#REF!,#REF!,$D$571,#REF!,$G586,#REF!,R$480)</f>
        <v>#REF!</v>
      </c>
      <c r="S588" s="88" t="e">
        <f>SUMIFS(#REF!,#REF!,$D$571,#REF!,$G586,#REF!,S$480)</f>
        <v>#REF!</v>
      </c>
      <c r="T588" s="88" t="e">
        <f>SUMIFS(#REF!,#REF!,$D$571,#REF!,$G586,#REF!,T$480)</f>
        <v>#REF!</v>
      </c>
      <c r="U588" s="88" t="e">
        <f>SUMIFS(#REF!,#REF!,$D$571,#REF!,$G586,#REF!,U$480)</f>
        <v>#REF!</v>
      </c>
      <c r="V588" s="88" t="e">
        <f>SUMIFS(#REF!,#REF!,$D$571,#REF!,$G586,#REF!,V$480)</f>
        <v>#REF!</v>
      </c>
      <c r="W588" s="88" t="e">
        <f>SUMIFS(#REF!,#REF!,$D$571,#REF!,$G586,#REF!,W$480)</f>
        <v>#REF!</v>
      </c>
      <c r="X588" s="88" t="e">
        <f>SUMIFS(#REF!,#REF!,$D$571,#REF!,$G586,#REF!,X$480)</f>
        <v>#REF!</v>
      </c>
      <c r="Y588" s="88" t="e">
        <f>SUMIFS(#REF!,#REF!,$D$571,#REF!,$G586,#REF!,Y$480)</f>
        <v>#REF!</v>
      </c>
      <c r="Z588" s="88" t="e">
        <f>SUMIFS(#REF!,#REF!,$D$571,#REF!,$G586,#REF!,Z$480)</f>
        <v>#REF!</v>
      </c>
      <c r="AA588" s="88" t="e">
        <f>SUMIFS(#REF!,#REF!,$D$571,#REF!,$G586,#REF!,AA$480)</f>
        <v>#REF!</v>
      </c>
      <c r="AB588" s="88" t="e">
        <f>SUMIFS(#REF!,#REF!,$D$571,#REF!,$G586,#REF!,AB$480)</f>
        <v>#REF!</v>
      </c>
      <c r="AC588" s="88" t="e">
        <f>SUMIFS(#REF!,#REF!,$D$571,#REF!,$G586,#REF!,AC$480)</f>
        <v>#REF!</v>
      </c>
      <c r="AD588" s="88" t="e">
        <f>SUMIFS(#REF!,#REF!,$D$571,#REF!,$G586,#REF!,AD$480)</f>
        <v>#REF!</v>
      </c>
      <c r="AE588" s="88" t="e">
        <f>SUMIFS(#REF!,#REF!,$D$571,#REF!,$G586,#REF!,AE$480)</f>
        <v>#REF!</v>
      </c>
      <c r="AF588" s="88" t="e">
        <f>SUMIFS(#REF!,#REF!,$D$571,#REF!,$G586,#REF!,AF$480)</f>
        <v>#REF!</v>
      </c>
      <c r="AG588" s="88" t="e">
        <f>SUMIFS(#REF!,#REF!,$D$571,#REF!,$G586,#REF!,AG$480)</f>
        <v>#REF!</v>
      </c>
      <c r="AH588" s="88" t="e">
        <f>SUMIFS(#REF!,#REF!,$D$571,#REF!,$G586,#REF!,AH$480)</f>
        <v>#REF!</v>
      </c>
      <c r="AI588" s="88" t="e">
        <f>SUMIFS(#REF!,#REF!,$D$571,#REF!,$G586,#REF!,AI$480)</f>
        <v>#REF!</v>
      </c>
      <c r="AJ588" s="88" t="e">
        <f>SUMIFS(#REF!,#REF!,$D$571,#REF!,$G586,#REF!,AJ$480)</f>
        <v>#REF!</v>
      </c>
      <c r="AK588" s="88" t="e">
        <f>SUMIFS(#REF!,#REF!,$D$571,#REF!,$G586,#REF!,AK$480)</f>
        <v>#REF!</v>
      </c>
      <c r="AL588" s="88" t="e">
        <f>SUMIFS(#REF!,#REF!,$D$571,#REF!,$G586,#REF!,AL$480)</f>
        <v>#REF!</v>
      </c>
      <c r="AM588" s="88" t="e">
        <f>SUMIFS(#REF!,#REF!,$D$571,#REF!,$G586,#REF!,AM$480)</f>
        <v>#REF!</v>
      </c>
    </row>
    <row r="589" ht="20.25" hidden="1" customHeight="1" spans="3:39">
      <c r="C589" s="251"/>
      <c r="D589" s="251"/>
      <c r="E589" s="261"/>
      <c r="F589" s="261"/>
      <c r="G589" s="262"/>
      <c r="H589" s="264" t="s">
        <v>110</v>
      </c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</row>
    <row r="590" ht="20.25" hidden="1" customHeight="1" spans="3:39">
      <c r="C590" s="251"/>
      <c r="D590" s="251"/>
      <c r="E590" s="261"/>
      <c r="F590" s="261"/>
      <c r="G590" s="262"/>
      <c r="H590" s="264" t="s">
        <v>111</v>
      </c>
      <c r="I590" s="90" t="e">
        <f t="shared" ref="I590:AM590" si="227">I588/I586</f>
        <v>#REF!</v>
      </c>
      <c r="J590" s="90" t="e">
        <f t="shared" si="227"/>
        <v>#REF!</v>
      </c>
      <c r="K590" s="90" t="e">
        <f t="shared" si="227"/>
        <v>#REF!</v>
      </c>
      <c r="L590" s="90" t="e">
        <f t="shared" si="227"/>
        <v>#REF!</v>
      </c>
      <c r="M590" s="90" t="e">
        <f t="shared" si="227"/>
        <v>#REF!</v>
      </c>
      <c r="N590" s="90" t="e">
        <f t="shared" si="227"/>
        <v>#REF!</v>
      </c>
      <c r="O590" s="90" t="e">
        <f t="shared" si="227"/>
        <v>#REF!</v>
      </c>
      <c r="P590" s="90" t="e">
        <f t="shared" si="227"/>
        <v>#REF!</v>
      </c>
      <c r="Q590" s="90" t="e">
        <f t="shared" si="227"/>
        <v>#REF!</v>
      </c>
      <c r="R590" s="90" t="e">
        <f t="shared" si="227"/>
        <v>#REF!</v>
      </c>
      <c r="S590" s="90" t="e">
        <f t="shared" si="227"/>
        <v>#REF!</v>
      </c>
      <c r="T590" s="90" t="e">
        <f t="shared" si="227"/>
        <v>#REF!</v>
      </c>
      <c r="U590" s="90" t="e">
        <f t="shared" si="227"/>
        <v>#REF!</v>
      </c>
      <c r="V590" s="90" t="e">
        <f t="shared" si="227"/>
        <v>#REF!</v>
      </c>
      <c r="W590" s="90" t="e">
        <f t="shared" si="227"/>
        <v>#REF!</v>
      </c>
      <c r="X590" s="90" t="e">
        <f t="shared" si="227"/>
        <v>#REF!</v>
      </c>
      <c r="Y590" s="90" t="e">
        <f t="shared" si="227"/>
        <v>#REF!</v>
      </c>
      <c r="Z590" s="90" t="e">
        <f t="shared" si="227"/>
        <v>#REF!</v>
      </c>
      <c r="AA590" s="90" t="e">
        <f t="shared" si="227"/>
        <v>#REF!</v>
      </c>
      <c r="AB590" s="90" t="e">
        <f t="shared" si="227"/>
        <v>#REF!</v>
      </c>
      <c r="AC590" s="90" t="e">
        <f t="shared" si="227"/>
        <v>#REF!</v>
      </c>
      <c r="AD590" s="90" t="e">
        <f t="shared" si="227"/>
        <v>#REF!</v>
      </c>
      <c r="AE590" s="90" t="e">
        <f t="shared" si="227"/>
        <v>#REF!</v>
      </c>
      <c r="AF590" s="90" t="e">
        <f t="shared" si="227"/>
        <v>#REF!</v>
      </c>
      <c r="AG590" s="90" t="e">
        <f t="shared" si="227"/>
        <v>#REF!</v>
      </c>
      <c r="AH590" s="90" t="e">
        <f t="shared" si="227"/>
        <v>#REF!</v>
      </c>
      <c r="AI590" s="90" t="e">
        <f t="shared" si="227"/>
        <v>#REF!</v>
      </c>
      <c r="AJ590" s="90" t="e">
        <f t="shared" si="227"/>
        <v>#REF!</v>
      </c>
      <c r="AK590" s="90" t="e">
        <f t="shared" si="227"/>
        <v>#REF!</v>
      </c>
      <c r="AL590" s="90" t="e">
        <f t="shared" si="227"/>
        <v>#REF!</v>
      </c>
      <c r="AM590" s="90" t="e">
        <f t="shared" si="227"/>
        <v>#REF!</v>
      </c>
    </row>
    <row r="591" ht="20.25" hidden="1" customHeight="1" spans="3:39">
      <c r="C591" s="251"/>
      <c r="D591" s="251"/>
      <c r="E591" s="261"/>
      <c r="F591" s="261"/>
      <c r="G591" s="259" t="s">
        <v>119</v>
      </c>
      <c r="H591" s="264" t="s">
        <v>107</v>
      </c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</row>
    <row r="592" ht="20.25" hidden="1" customHeight="1" spans="3:39">
      <c r="C592" s="251"/>
      <c r="D592" s="251"/>
      <c r="E592" s="261"/>
      <c r="F592" s="261"/>
      <c r="G592" s="262"/>
      <c r="H592" s="264" t="s">
        <v>108</v>
      </c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</row>
    <row r="593" ht="20.25" hidden="1" customHeight="1" spans="3:39">
      <c r="C593" s="251"/>
      <c r="D593" s="251"/>
      <c r="E593" s="261"/>
      <c r="F593" s="261"/>
      <c r="G593" s="262"/>
      <c r="H593" s="264" t="s">
        <v>109</v>
      </c>
      <c r="I593" s="88" t="e">
        <f>SUM(J593:AM593)</f>
        <v>#REF!</v>
      </c>
      <c r="J593" s="88" t="e">
        <f>SUMIFS(#REF!,#REF!,$D$571,#REF!,$G591,#REF!,J$480)</f>
        <v>#REF!</v>
      </c>
      <c r="K593" s="88" t="e">
        <f>SUMIFS(#REF!,#REF!,$D$571,#REF!,$G591,#REF!,K$480)</f>
        <v>#REF!</v>
      </c>
      <c r="L593" s="88" t="e">
        <f>SUMIFS(#REF!,#REF!,$D$571,#REF!,$G591,#REF!,L$480)</f>
        <v>#REF!</v>
      </c>
      <c r="M593" s="88" t="e">
        <f>SUMIFS(#REF!,#REF!,$D$571,#REF!,$G591,#REF!,M$480)</f>
        <v>#REF!</v>
      </c>
      <c r="N593" s="88" t="e">
        <f>SUMIFS(#REF!,#REF!,$D$571,#REF!,$G591,#REF!,N$480)</f>
        <v>#REF!</v>
      </c>
      <c r="O593" s="88" t="e">
        <f>SUMIFS(#REF!,#REF!,$D$571,#REF!,$G591,#REF!,O$480)</f>
        <v>#REF!</v>
      </c>
      <c r="P593" s="88" t="e">
        <f>SUMIFS(#REF!,#REF!,$D$571,#REF!,$G591,#REF!,P$480)</f>
        <v>#REF!</v>
      </c>
      <c r="Q593" s="88" t="e">
        <f>SUMIFS(#REF!,#REF!,$D$571,#REF!,$G591,#REF!,Q$480)</f>
        <v>#REF!</v>
      </c>
      <c r="R593" s="88" t="e">
        <f>SUMIFS(#REF!,#REF!,$D$571,#REF!,$G591,#REF!,R$480)</f>
        <v>#REF!</v>
      </c>
      <c r="S593" s="88" t="e">
        <f>SUMIFS(#REF!,#REF!,$D$571,#REF!,$G591,#REF!,S$480)</f>
        <v>#REF!</v>
      </c>
      <c r="T593" s="88" t="e">
        <f>SUMIFS(#REF!,#REF!,$D$571,#REF!,$G591,#REF!,T$480)</f>
        <v>#REF!</v>
      </c>
      <c r="U593" s="88" t="e">
        <f>SUMIFS(#REF!,#REF!,$D$571,#REF!,$G591,#REF!,U$480)</f>
        <v>#REF!</v>
      </c>
      <c r="V593" s="88" t="e">
        <f>SUMIFS(#REF!,#REF!,$D$571,#REF!,$G591,#REF!,V$480)</f>
        <v>#REF!</v>
      </c>
      <c r="W593" s="88" t="e">
        <f>SUMIFS(#REF!,#REF!,$D$571,#REF!,$G591,#REF!,W$480)</f>
        <v>#REF!</v>
      </c>
      <c r="X593" s="88" t="e">
        <f>SUMIFS(#REF!,#REF!,$D$571,#REF!,$G591,#REF!,X$480)</f>
        <v>#REF!</v>
      </c>
      <c r="Y593" s="88" t="e">
        <f>SUMIFS(#REF!,#REF!,$D$571,#REF!,$G591,#REF!,Y$480)</f>
        <v>#REF!</v>
      </c>
      <c r="Z593" s="88" t="e">
        <f>SUMIFS(#REF!,#REF!,$D$571,#REF!,$G591,#REF!,Z$480)</f>
        <v>#REF!</v>
      </c>
      <c r="AA593" s="88" t="e">
        <f>SUMIFS(#REF!,#REF!,$D$571,#REF!,$G591,#REF!,AA$480)</f>
        <v>#REF!</v>
      </c>
      <c r="AB593" s="88" t="e">
        <f>SUMIFS(#REF!,#REF!,$D$571,#REF!,$G591,#REF!,AB$480)</f>
        <v>#REF!</v>
      </c>
      <c r="AC593" s="88" t="e">
        <f>SUMIFS(#REF!,#REF!,$D$571,#REF!,$G591,#REF!,AC$480)</f>
        <v>#REF!</v>
      </c>
      <c r="AD593" s="88" t="e">
        <f>SUMIFS(#REF!,#REF!,$D$571,#REF!,$G591,#REF!,AD$480)</f>
        <v>#REF!</v>
      </c>
      <c r="AE593" s="88" t="e">
        <f>SUMIFS(#REF!,#REF!,$D$571,#REF!,$G591,#REF!,AE$480)</f>
        <v>#REF!</v>
      </c>
      <c r="AF593" s="88" t="e">
        <f>SUMIFS(#REF!,#REF!,$D$571,#REF!,$G591,#REF!,AF$480)</f>
        <v>#REF!</v>
      </c>
      <c r="AG593" s="88" t="e">
        <f>SUMIFS(#REF!,#REF!,$D$571,#REF!,$G591,#REF!,AG$480)</f>
        <v>#REF!</v>
      </c>
      <c r="AH593" s="88" t="e">
        <f>SUMIFS(#REF!,#REF!,$D$571,#REF!,$G591,#REF!,AH$480)</f>
        <v>#REF!</v>
      </c>
      <c r="AI593" s="88" t="e">
        <f>SUMIFS(#REF!,#REF!,$D$571,#REF!,$G591,#REF!,AI$480)</f>
        <v>#REF!</v>
      </c>
      <c r="AJ593" s="88" t="e">
        <f>SUMIFS(#REF!,#REF!,$D$571,#REF!,$G591,#REF!,AJ$480)</f>
        <v>#REF!</v>
      </c>
      <c r="AK593" s="88" t="e">
        <f>SUMIFS(#REF!,#REF!,$D$571,#REF!,$G591,#REF!,AK$480)</f>
        <v>#REF!</v>
      </c>
      <c r="AL593" s="88" t="e">
        <f>SUMIFS(#REF!,#REF!,$D$571,#REF!,$G591,#REF!,AL$480)</f>
        <v>#REF!</v>
      </c>
      <c r="AM593" s="88" t="e">
        <f>SUMIFS(#REF!,#REF!,$D$571,#REF!,$G591,#REF!,AM$480)</f>
        <v>#REF!</v>
      </c>
    </row>
    <row r="594" ht="20.25" hidden="1" customHeight="1" spans="3:39">
      <c r="C594" s="251"/>
      <c r="D594" s="251"/>
      <c r="E594" s="261"/>
      <c r="F594" s="261"/>
      <c r="G594" s="262"/>
      <c r="H594" s="264" t="s">
        <v>110</v>
      </c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</row>
    <row r="595" ht="20.25" hidden="1" customHeight="1" spans="3:39">
      <c r="C595" s="251"/>
      <c r="D595" s="251"/>
      <c r="E595" s="261"/>
      <c r="F595" s="261"/>
      <c r="G595" s="262"/>
      <c r="H595" s="264" t="s">
        <v>111</v>
      </c>
      <c r="I595" s="90" t="e">
        <f t="shared" ref="I595:AM595" si="228">I593/I591</f>
        <v>#REF!</v>
      </c>
      <c r="J595" s="90" t="e">
        <f t="shared" si="228"/>
        <v>#REF!</v>
      </c>
      <c r="K595" s="90" t="e">
        <f t="shared" si="228"/>
        <v>#REF!</v>
      </c>
      <c r="L595" s="90" t="e">
        <f t="shared" si="228"/>
        <v>#REF!</v>
      </c>
      <c r="M595" s="90" t="e">
        <f t="shared" si="228"/>
        <v>#REF!</v>
      </c>
      <c r="N595" s="90" t="e">
        <f t="shared" si="228"/>
        <v>#REF!</v>
      </c>
      <c r="O595" s="90" t="e">
        <f t="shared" si="228"/>
        <v>#REF!</v>
      </c>
      <c r="P595" s="90" t="e">
        <f t="shared" si="228"/>
        <v>#REF!</v>
      </c>
      <c r="Q595" s="90" t="e">
        <f t="shared" si="228"/>
        <v>#REF!</v>
      </c>
      <c r="R595" s="90" t="e">
        <f t="shared" si="228"/>
        <v>#REF!</v>
      </c>
      <c r="S595" s="90" t="e">
        <f t="shared" si="228"/>
        <v>#REF!</v>
      </c>
      <c r="T595" s="90" t="e">
        <f t="shared" si="228"/>
        <v>#REF!</v>
      </c>
      <c r="U595" s="90" t="e">
        <f t="shared" si="228"/>
        <v>#REF!</v>
      </c>
      <c r="V595" s="90" t="e">
        <f t="shared" si="228"/>
        <v>#REF!</v>
      </c>
      <c r="W595" s="90" t="e">
        <f t="shared" si="228"/>
        <v>#REF!</v>
      </c>
      <c r="X595" s="90" t="e">
        <f t="shared" si="228"/>
        <v>#REF!</v>
      </c>
      <c r="Y595" s="90" t="e">
        <f t="shared" si="228"/>
        <v>#REF!</v>
      </c>
      <c r="Z595" s="90" t="e">
        <f t="shared" si="228"/>
        <v>#REF!</v>
      </c>
      <c r="AA595" s="90" t="e">
        <f t="shared" si="228"/>
        <v>#REF!</v>
      </c>
      <c r="AB595" s="90" t="e">
        <f t="shared" si="228"/>
        <v>#REF!</v>
      </c>
      <c r="AC595" s="90" t="e">
        <f t="shared" si="228"/>
        <v>#REF!</v>
      </c>
      <c r="AD595" s="90" t="e">
        <f t="shared" si="228"/>
        <v>#REF!</v>
      </c>
      <c r="AE595" s="90" t="e">
        <f t="shared" si="228"/>
        <v>#REF!</v>
      </c>
      <c r="AF595" s="90" t="e">
        <f t="shared" si="228"/>
        <v>#REF!</v>
      </c>
      <c r="AG595" s="90" t="e">
        <f t="shared" si="228"/>
        <v>#REF!</v>
      </c>
      <c r="AH595" s="90" t="e">
        <f t="shared" si="228"/>
        <v>#REF!</v>
      </c>
      <c r="AI595" s="90" t="e">
        <f t="shared" si="228"/>
        <v>#REF!</v>
      </c>
      <c r="AJ595" s="90" t="e">
        <f t="shared" si="228"/>
        <v>#REF!</v>
      </c>
      <c r="AK595" s="90" t="e">
        <f t="shared" si="228"/>
        <v>#REF!</v>
      </c>
      <c r="AL595" s="90" t="e">
        <f t="shared" si="228"/>
        <v>#REF!</v>
      </c>
      <c r="AM595" s="90" t="e">
        <f t="shared" si="228"/>
        <v>#REF!</v>
      </c>
    </row>
    <row r="596" ht="20.25" hidden="1" customHeight="1" spans="3:39">
      <c r="C596" s="251"/>
      <c r="D596" s="251"/>
      <c r="E596" s="261"/>
      <c r="F596" s="261"/>
      <c r="G596" s="263" t="s">
        <v>94</v>
      </c>
      <c r="H596" s="264" t="s">
        <v>107</v>
      </c>
      <c r="I596" s="88">
        <v>85010</v>
      </c>
      <c r="J596" s="88">
        <v>3402</v>
      </c>
      <c r="K596" s="88">
        <v>3267</v>
      </c>
      <c r="L596" s="88">
        <v>3267</v>
      </c>
      <c r="M596" s="88">
        <v>2554</v>
      </c>
      <c r="N596" s="88">
        <v>2358</v>
      </c>
      <c r="O596" s="88">
        <v>2132</v>
      </c>
      <c r="P596" s="88">
        <v>2302</v>
      </c>
      <c r="Q596" s="88">
        <v>2293</v>
      </c>
      <c r="R596" s="88">
        <v>2368</v>
      </c>
      <c r="S596" s="88">
        <v>2433</v>
      </c>
      <c r="T596" s="88">
        <v>2433</v>
      </c>
      <c r="U596" s="88">
        <v>2358</v>
      </c>
      <c r="V596" s="88">
        <v>2423</v>
      </c>
      <c r="W596" s="88">
        <v>3106</v>
      </c>
      <c r="X596" s="88">
        <v>3161</v>
      </c>
      <c r="Y596" s="88">
        <v>3910</v>
      </c>
      <c r="Z596" s="88">
        <v>4893</v>
      </c>
      <c r="AA596" s="88">
        <v>10186</v>
      </c>
      <c r="AB596" s="88">
        <v>3960</v>
      </c>
      <c r="AC596" s="88">
        <v>3257</v>
      </c>
      <c r="AD596" s="88">
        <v>1851</v>
      </c>
      <c r="AE596" s="88">
        <v>1851</v>
      </c>
      <c r="AF596" s="88">
        <v>1860</v>
      </c>
      <c r="AG596" s="88">
        <v>1936</v>
      </c>
      <c r="AH596" s="88">
        <v>1860</v>
      </c>
      <c r="AI596" s="88">
        <v>2011</v>
      </c>
      <c r="AJ596" s="88">
        <v>1720</v>
      </c>
      <c r="AK596" s="88">
        <v>1966</v>
      </c>
      <c r="AL596" s="88">
        <v>1946</v>
      </c>
      <c r="AM596" s="88">
        <v>1946</v>
      </c>
    </row>
    <row r="597" ht="20.25" hidden="1" customHeight="1" spans="3:39">
      <c r="C597" s="251"/>
      <c r="D597" s="251"/>
      <c r="E597" s="261"/>
      <c r="F597" s="261"/>
      <c r="G597" s="262"/>
      <c r="H597" s="264" t="s">
        <v>108</v>
      </c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</row>
    <row r="598" ht="20.25" hidden="1" customHeight="1" spans="3:39">
      <c r="C598" s="251"/>
      <c r="D598" s="251"/>
      <c r="E598" s="261"/>
      <c r="F598" s="261"/>
      <c r="G598" s="262"/>
      <c r="H598" s="264" t="s">
        <v>109</v>
      </c>
      <c r="I598" s="88" t="e">
        <f>SUM(J598:AM598)</f>
        <v>#REF!</v>
      </c>
      <c r="J598" s="88" t="e">
        <f t="shared" ref="J598:AM598" si="229">J593+J588+J583+J578+J573</f>
        <v>#REF!</v>
      </c>
      <c r="K598" s="88" t="e">
        <f t="shared" si="229"/>
        <v>#REF!</v>
      </c>
      <c r="L598" s="88" t="e">
        <f t="shared" si="229"/>
        <v>#REF!</v>
      </c>
      <c r="M598" s="88" t="e">
        <f t="shared" si="229"/>
        <v>#REF!</v>
      </c>
      <c r="N598" s="88" t="e">
        <f t="shared" si="229"/>
        <v>#REF!</v>
      </c>
      <c r="O598" s="88" t="e">
        <f t="shared" si="229"/>
        <v>#REF!</v>
      </c>
      <c r="P598" s="88" t="e">
        <f t="shared" si="229"/>
        <v>#REF!</v>
      </c>
      <c r="Q598" s="88" t="e">
        <f t="shared" si="229"/>
        <v>#REF!</v>
      </c>
      <c r="R598" s="88" t="e">
        <f t="shared" si="229"/>
        <v>#REF!</v>
      </c>
      <c r="S598" s="88" t="e">
        <f t="shared" si="229"/>
        <v>#REF!</v>
      </c>
      <c r="T598" s="88" t="e">
        <f t="shared" si="229"/>
        <v>#REF!</v>
      </c>
      <c r="U598" s="88" t="e">
        <f t="shared" si="229"/>
        <v>#REF!</v>
      </c>
      <c r="V598" s="88" t="e">
        <f t="shared" si="229"/>
        <v>#REF!</v>
      </c>
      <c r="W598" s="88" t="e">
        <f t="shared" si="229"/>
        <v>#REF!</v>
      </c>
      <c r="X598" s="88" t="e">
        <f t="shared" si="229"/>
        <v>#REF!</v>
      </c>
      <c r="Y598" s="88" t="e">
        <f t="shared" si="229"/>
        <v>#REF!</v>
      </c>
      <c r="Z598" s="88" t="e">
        <f t="shared" si="229"/>
        <v>#REF!</v>
      </c>
      <c r="AA598" s="88" t="e">
        <f t="shared" si="229"/>
        <v>#REF!</v>
      </c>
      <c r="AB598" s="88" t="e">
        <f t="shared" si="229"/>
        <v>#REF!</v>
      </c>
      <c r="AC598" s="88" t="e">
        <f t="shared" si="229"/>
        <v>#REF!</v>
      </c>
      <c r="AD598" s="88" t="e">
        <f t="shared" si="229"/>
        <v>#REF!</v>
      </c>
      <c r="AE598" s="88" t="e">
        <f t="shared" si="229"/>
        <v>#REF!</v>
      </c>
      <c r="AF598" s="88" t="e">
        <f t="shared" si="229"/>
        <v>#REF!</v>
      </c>
      <c r="AG598" s="88" t="e">
        <f t="shared" si="229"/>
        <v>#REF!</v>
      </c>
      <c r="AH598" s="88" t="e">
        <f t="shared" si="229"/>
        <v>#REF!</v>
      </c>
      <c r="AI598" s="88" t="e">
        <f t="shared" si="229"/>
        <v>#REF!</v>
      </c>
      <c r="AJ598" s="88" t="e">
        <f t="shared" si="229"/>
        <v>#REF!</v>
      </c>
      <c r="AK598" s="88" t="e">
        <f t="shared" si="229"/>
        <v>#REF!</v>
      </c>
      <c r="AL598" s="88" t="e">
        <f t="shared" si="229"/>
        <v>#REF!</v>
      </c>
      <c r="AM598" s="88" t="e">
        <f t="shared" si="229"/>
        <v>#REF!</v>
      </c>
    </row>
    <row r="599" ht="20.25" hidden="1" customHeight="1" spans="3:39">
      <c r="C599" s="251"/>
      <c r="D599" s="251"/>
      <c r="E599" s="261"/>
      <c r="F599" s="261"/>
      <c r="G599" s="262"/>
      <c r="H599" s="264" t="s">
        <v>110</v>
      </c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</row>
    <row r="600" ht="20.25" hidden="1" customHeight="1" spans="3:39">
      <c r="C600" s="251"/>
      <c r="D600" s="251"/>
      <c r="E600" s="261"/>
      <c r="F600" s="261"/>
      <c r="G600" s="262"/>
      <c r="H600" s="264" t="s">
        <v>111</v>
      </c>
      <c r="I600" s="90" t="e">
        <f t="shared" ref="I600:AM600" si="230">I598/I596</f>
        <v>#REF!</v>
      </c>
      <c r="J600" s="90" t="e">
        <f t="shared" si="230"/>
        <v>#REF!</v>
      </c>
      <c r="K600" s="90" t="e">
        <f t="shared" si="230"/>
        <v>#REF!</v>
      </c>
      <c r="L600" s="90" t="e">
        <f t="shared" si="230"/>
        <v>#REF!</v>
      </c>
      <c r="M600" s="90" t="e">
        <f t="shared" si="230"/>
        <v>#REF!</v>
      </c>
      <c r="N600" s="90" t="e">
        <f t="shared" si="230"/>
        <v>#REF!</v>
      </c>
      <c r="O600" s="90" t="e">
        <f t="shared" si="230"/>
        <v>#REF!</v>
      </c>
      <c r="P600" s="90" t="e">
        <f t="shared" si="230"/>
        <v>#REF!</v>
      </c>
      <c r="Q600" s="90" t="e">
        <f t="shared" si="230"/>
        <v>#REF!</v>
      </c>
      <c r="R600" s="90" t="e">
        <f t="shared" si="230"/>
        <v>#REF!</v>
      </c>
      <c r="S600" s="90" t="e">
        <f t="shared" si="230"/>
        <v>#REF!</v>
      </c>
      <c r="T600" s="90" t="e">
        <f t="shared" si="230"/>
        <v>#REF!</v>
      </c>
      <c r="U600" s="90" t="e">
        <f t="shared" si="230"/>
        <v>#REF!</v>
      </c>
      <c r="V600" s="90" t="e">
        <f t="shared" si="230"/>
        <v>#REF!</v>
      </c>
      <c r="W600" s="90" t="e">
        <f t="shared" si="230"/>
        <v>#REF!</v>
      </c>
      <c r="X600" s="90" t="e">
        <f t="shared" si="230"/>
        <v>#REF!</v>
      </c>
      <c r="Y600" s="90" t="e">
        <f t="shared" si="230"/>
        <v>#REF!</v>
      </c>
      <c r="Z600" s="90" t="e">
        <f t="shared" si="230"/>
        <v>#REF!</v>
      </c>
      <c r="AA600" s="90" t="e">
        <f t="shared" si="230"/>
        <v>#REF!</v>
      </c>
      <c r="AB600" s="90" t="e">
        <f t="shared" si="230"/>
        <v>#REF!</v>
      </c>
      <c r="AC600" s="90" t="e">
        <f t="shared" si="230"/>
        <v>#REF!</v>
      </c>
      <c r="AD600" s="90" t="e">
        <f t="shared" si="230"/>
        <v>#REF!</v>
      </c>
      <c r="AE600" s="90" t="e">
        <f t="shared" si="230"/>
        <v>#REF!</v>
      </c>
      <c r="AF600" s="90" t="e">
        <f t="shared" si="230"/>
        <v>#REF!</v>
      </c>
      <c r="AG600" s="90" t="e">
        <f t="shared" si="230"/>
        <v>#REF!</v>
      </c>
      <c r="AH600" s="90" t="e">
        <f t="shared" si="230"/>
        <v>#REF!</v>
      </c>
      <c r="AI600" s="90" t="e">
        <f t="shared" si="230"/>
        <v>#REF!</v>
      </c>
      <c r="AJ600" s="90" t="e">
        <f t="shared" si="230"/>
        <v>#REF!</v>
      </c>
      <c r="AK600" s="90" t="e">
        <f t="shared" si="230"/>
        <v>#REF!</v>
      </c>
      <c r="AL600" s="90" t="e">
        <f t="shared" si="230"/>
        <v>#REF!</v>
      </c>
      <c r="AM600" s="90" t="e">
        <f t="shared" si="230"/>
        <v>#REF!</v>
      </c>
    </row>
    <row r="601" ht="20.25" hidden="1" customHeight="1" spans="3:39">
      <c r="C601" s="251"/>
      <c r="D601" s="257" t="s">
        <v>91</v>
      </c>
      <c r="E601" s="258">
        <f>I626/$I$686</f>
        <v>0.0340378117220423</v>
      </c>
      <c r="F601" s="258" t="e">
        <f>I628/$I$688</f>
        <v>#REF!</v>
      </c>
      <c r="G601" s="259" t="s">
        <v>115</v>
      </c>
      <c r="H601" s="264" t="s">
        <v>107</v>
      </c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</row>
    <row r="602" ht="20.25" hidden="1" customHeight="1" spans="3:39">
      <c r="C602" s="251"/>
      <c r="D602" s="251"/>
      <c r="E602" s="261"/>
      <c r="F602" s="261"/>
      <c r="G602" s="262"/>
      <c r="H602" s="264" t="s">
        <v>108</v>
      </c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</row>
    <row r="603" ht="20.25" hidden="1" customHeight="1" spans="3:39">
      <c r="C603" s="251"/>
      <c r="D603" s="251"/>
      <c r="E603" s="261"/>
      <c r="F603" s="261"/>
      <c r="G603" s="262"/>
      <c r="H603" s="264" t="s">
        <v>109</v>
      </c>
      <c r="I603" s="88" t="e">
        <f>SUM(J603:AM603)</f>
        <v>#REF!</v>
      </c>
      <c r="J603" s="88" t="e">
        <f>SUMIFS(#REF!,#REF!,$D$601,#REF!,$G601,#REF!,J$480)</f>
        <v>#REF!</v>
      </c>
      <c r="K603" s="88" t="e">
        <f>SUMIFS(#REF!,#REF!,$D$601,#REF!,$G601,#REF!,K$480)</f>
        <v>#REF!</v>
      </c>
      <c r="L603" s="88" t="e">
        <f>SUMIFS(#REF!,#REF!,$D$601,#REF!,$G601,#REF!,L$480)</f>
        <v>#REF!</v>
      </c>
      <c r="M603" s="88" t="e">
        <f>SUMIFS(#REF!,#REF!,$D$601,#REF!,$G601,#REF!,M$480)</f>
        <v>#REF!</v>
      </c>
      <c r="N603" s="88" t="e">
        <f>SUMIFS(#REF!,#REF!,$D$601,#REF!,$G601,#REF!,N$480)</f>
        <v>#REF!</v>
      </c>
      <c r="O603" s="88" t="e">
        <f>SUMIFS(#REF!,#REF!,$D$601,#REF!,$G601,#REF!,O$480)</f>
        <v>#REF!</v>
      </c>
      <c r="P603" s="88" t="e">
        <f>SUMIFS(#REF!,#REF!,$D$601,#REF!,$G601,#REF!,P$480)</f>
        <v>#REF!</v>
      </c>
      <c r="Q603" s="88" t="e">
        <f>SUMIFS(#REF!,#REF!,$D$601,#REF!,$G601,#REF!,Q$480)</f>
        <v>#REF!</v>
      </c>
      <c r="R603" s="88" t="e">
        <f>SUMIFS(#REF!,#REF!,$D$601,#REF!,$G601,#REF!,R$480)</f>
        <v>#REF!</v>
      </c>
      <c r="S603" s="88" t="e">
        <f>SUMIFS(#REF!,#REF!,$D$601,#REF!,$G601,#REF!,S$480)</f>
        <v>#REF!</v>
      </c>
      <c r="T603" s="88" t="e">
        <f>SUMIFS(#REF!,#REF!,$D$601,#REF!,$G601,#REF!,T$480)</f>
        <v>#REF!</v>
      </c>
      <c r="U603" s="88" t="e">
        <f>SUMIFS(#REF!,#REF!,$D$601,#REF!,$G601,#REF!,U$480)</f>
        <v>#REF!</v>
      </c>
      <c r="V603" s="88" t="e">
        <f>SUMIFS(#REF!,#REF!,$D$601,#REF!,$G601,#REF!,V$480)</f>
        <v>#REF!</v>
      </c>
      <c r="W603" s="88" t="e">
        <f>SUMIFS(#REF!,#REF!,$D$601,#REF!,$G601,#REF!,W$480)</f>
        <v>#REF!</v>
      </c>
      <c r="X603" s="88" t="e">
        <f>SUMIFS(#REF!,#REF!,$D$601,#REF!,$G601,#REF!,X$480)</f>
        <v>#REF!</v>
      </c>
      <c r="Y603" s="88" t="e">
        <f>SUMIFS(#REF!,#REF!,$D$601,#REF!,$G601,#REF!,Y$480)</f>
        <v>#REF!</v>
      </c>
      <c r="Z603" s="88" t="e">
        <f>SUMIFS(#REF!,#REF!,$D$601,#REF!,$G601,#REF!,Z$480)</f>
        <v>#REF!</v>
      </c>
      <c r="AA603" s="88" t="e">
        <f>SUMIFS(#REF!,#REF!,$D$601,#REF!,$G601,#REF!,AA$480)</f>
        <v>#REF!</v>
      </c>
      <c r="AB603" s="88" t="e">
        <f>SUMIFS(#REF!,#REF!,$D$601,#REF!,$G601,#REF!,AB$480)</f>
        <v>#REF!</v>
      </c>
      <c r="AC603" s="88" t="e">
        <f>SUMIFS(#REF!,#REF!,$D$601,#REF!,$G601,#REF!,AC$480)</f>
        <v>#REF!</v>
      </c>
      <c r="AD603" s="88" t="e">
        <f>SUMIFS(#REF!,#REF!,$D$601,#REF!,$G601,#REF!,AD$480)</f>
        <v>#REF!</v>
      </c>
      <c r="AE603" s="88" t="e">
        <f>SUMIFS(#REF!,#REF!,$D$601,#REF!,$G601,#REF!,AE$480)</f>
        <v>#REF!</v>
      </c>
      <c r="AF603" s="88" t="e">
        <f>SUMIFS(#REF!,#REF!,$D$601,#REF!,$G601,#REF!,AF$480)</f>
        <v>#REF!</v>
      </c>
      <c r="AG603" s="88" t="e">
        <f>SUMIFS(#REF!,#REF!,$D$601,#REF!,$G601,#REF!,AG$480)</f>
        <v>#REF!</v>
      </c>
      <c r="AH603" s="88" t="e">
        <f>SUMIFS(#REF!,#REF!,$D$601,#REF!,$G601,#REF!,AH$480)</f>
        <v>#REF!</v>
      </c>
      <c r="AI603" s="88" t="e">
        <f>SUMIFS(#REF!,#REF!,$D$601,#REF!,$G601,#REF!,AI$480)</f>
        <v>#REF!</v>
      </c>
      <c r="AJ603" s="88" t="e">
        <f>SUMIFS(#REF!,#REF!,$D$601,#REF!,$G601,#REF!,AJ$480)</f>
        <v>#REF!</v>
      </c>
      <c r="AK603" s="88" t="e">
        <f>SUMIFS(#REF!,#REF!,$D$601,#REF!,$G601,#REF!,AK$480)</f>
        <v>#REF!</v>
      </c>
      <c r="AL603" s="88" t="e">
        <f>SUMIFS(#REF!,#REF!,$D$601,#REF!,$G601,#REF!,AL$480)</f>
        <v>#REF!</v>
      </c>
      <c r="AM603" s="88" t="e">
        <f>SUMIFS(#REF!,#REF!,$D$601,#REF!,$G601,#REF!,AM$480)</f>
        <v>#REF!</v>
      </c>
    </row>
    <row r="604" ht="20.25" hidden="1" customHeight="1" spans="3:39">
      <c r="C604" s="251"/>
      <c r="D604" s="251"/>
      <c r="E604" s="261"/>
      <c r="F604" s="261"/>
      <c r="G604" s="262"/>
      <c r="H604" s="264" t="s">
        <v>110</v>
      </c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</row>
    <row r="605" ht="20.25" hidden="1" customHeight="1" spans="3:39">
      <c r="C605" s="251"/>
      <c r="D605" s="251"/>
      <c r="E605" s="261"/>
      <c r="F605" s="261"/>
      <c r="G605" s="262"/>
      <c r="H605" s="264" t="s">
        <v>111</v>
      </c>
      <c r="I605" s="90" t="e">
        <f t="shared" ref="I605:AM605" si="231">I603/I601</f>
        <v>#REF!</v>
      </c>
      <c r="J605" s="90" t="e">
        <f t="shared" si="231"/>
        <v>#REF!</v>
      </c>
      <c r="K605" s="90" t="e">
        <f t="shared" si="231"/>
        <v>#REF!</v>
      </c>
      <c r="L605" s="90" t="e">
        <f t="shared" si="231"/>
        <v>#REF!</v>
      </c>
      <c r="M605" s="90" t="e">
        <f t="shared" si="231"/>
        <v>#REF!</v>
      </c>
      <c r="N605" s="90" t="e">
        <f t="shared" si="231"/>
        <v>#REF!</v>
      </c>
      <c r="O605" s="90" t="e">
        <f t="shared" si="231"/>
        <v>#REF!</v>
      </c>
      <c r="P605" s="90" t="e">
        <f t="shared" si="231"/>
        <v>#REF!</v>
      </c>
      <c r="Q605" s="90" t="e">
        <f t="shared" si="231"/>
        <v>#REF!</v>
      </c>
      <c r="R605" s="90" t="e">
        <f t="shared" si="231"/>
        <v>#REF!</v>
      </c>
      <c r="S605" s="90" t="e">
        <f t="shared" si="231"/>
        <v>#REF!</v>
      </c>
      <c r="T605" s="90" t="e">
        <f t="shared" si="231"/>
        <v>#REF!</v>
      </c>
      <c r="U605" s="90" t="e">
        <f t="shared" si="231"/>
        <v>#REF!</v>
      </c>
      <c r="V605" s="90" t="e">
        <f t="shared" si="231"/>
        <v>#REF!</v>
      </c>
      <c r="W605" s="90" t="e">
        <f t="shared" si="231"/>
        <v>#REF!</v>
      </c>
      <c r="X605" s="90" t="e">
        <f t="shared" si="231"/>
        <v>#REF!</v>
      </c>
      <c r="Y605" s="90" t="e">
        <f t="shared" si="231"/>
        <v>#REF!</v>
      </c>
      <c r="Z605" s="90" t="e">
        <f t="shared" si="231"/>
        <v>#REF!</v>
      </c>
      <c r="AA605" s="90" t="e">
        <f t="shared" si="231"/>
        <v>#REF!</v>
      </c>
      <c r="AB605" s="90" t="e">
        <f t="shared" si="231"/>
        <v>#REF!</v>
      </c>
      <c r="AC605" s="90" t="e">
        <f t="shared" si="231"/>
        <v>#REF!</v>
      </c>
      <c r="AD605" s="90" t="e">
        <f t="shared" si="231"/>
        <v>#REF!</v>
      </c>
      <c r="AE605" s="90" t="e">
        <f t="shared" si="231"/>
        <v>#REF!</v>
      </c>
      <c r="AF605" s="90" t="e">
        <f t="shared" si="231"/>
        <v>#REF!</v>
      </c>
      <c r="AG605" s="90" t="e">
        <f t="shared" si="231"/>
        <v>#REF!</v>
      </c>
      <c r="AH605" s="90" t="e">
        <f t="shared" si="231"/>
        <v>#REF!</v>
      </c>
      <c r="AI605" s="90" t="e">
        <f t="shared" si="231"/>
        <v>#REF!</v>
      </c>
      <c r="AJ605" s="90" t="e">
        <f t="shared" si="231"/>
        <v>#REF!</v>
      </c>
      <c r="AK605" s="90" t="e">
        <f t="shared" si="231"/>
        <v>#REF!</v>
      </c>
      <c r="AL605" s="90" t="e">
        <f t="shared" si="231"/>
        <v>#REF!</v>
      </c>
      <c r="AM605" s="90" t="e">
        <f t="shared" si="231"/>
        <v>#REF!</v>
      </c>
    </row>
    <row r="606" ht="20.25" hidden="1" customHeight="1" spans="3:39">
      <c r="C606" s="251"/>
      <c r="D606" s="251"/>
      <c r="E606" s="261"/>
      <c r="F606" s="261"/>
      <c r="G606" s="259" t="s">
        <v>116</v>
      </c>
      <c r="H606" s="264" t="s">
        <v>107</v>
      </c>
      <c r="I606" s="88">
        <v>8999</v>
      </c>
      <c r="J606" s="88">
        <v>360</v>
      </c>
      <c r="K606" s="88">
        <v>346</v>
      </c>
      <c r="L606" s="88">
        <v>346</v>
      </c>
      <c r="M606" s="88">
        <v>271</v>
      </c>
      <c r="N606" s="88">
        <v>250</v>
      </c>
      <c r="O606" s="88">
        <v>226</v>
      </c>
      <c r="P606" s="88">
        <v>244</v>
      </c>
      <c r="Q606" s="88">
        <v>243</v>
      </c>
      <c r="R606" s="88">
        <v>251</v>
      </c>
      <c r="S606" s="88">
        <v>257</v>
      </c>
      <c r="T606" s="88">
        <v>257</v>
      </c>
      <c r="U606" s="88">
        <v>250</v>
      </c>
      <c r="V606" s="88">
        <v>257</v>
      </c>
      <c r="W606" s="88">
        <v>329</v>
      </c>
      <c r="X606" s="88">
        <v>335</v>
      </c>
      <c r="Y606" s="88">
        <v>414</v>
      </c>
      <c r="Z606" s="88">
        <v>518</v>
      </c>
      <c r="AA606" s="88">
        <v>1078</v>
      </c>
      <c r="AB606" s="88">
        <v>419</v>
      </c>
      <c r="AC606" s="88">
        <v>345</v>
      </c>
      <c r="AD606" s="88">
        <v>196</v>
      </c>
      <c r="AE606" s="88">
        <v>196</v>
      </c>
      <c r="AF606" s="88">
        <v>197</v>
      </c>
      <c r="AG606" s="88">
        <v>205</v>
      </c>
      <c r="AH606" s="88">
        <v>197</v>
      </c>
      <c r="AI606" s="88">
        <v>213</v>
      </c>
      <c r="AJ606" s="88">
        <v>182</v>
      </c>
      <c r="AK606" s="88">
        <v>208</v>
      </c>
      <c r="AL606" s="88">
        <v>206</v>
      </c>
      <c r="AM606" s="88">
        <v>206</v>
      </c>
    </row>
    <row r="607" ht="20.25" hidden="1" customHeight="1" spans="3:39">
      <c r="C607" s="251"/>
      <c r="D607" s="251"/>
      <c r="E607" s="261"/>
      <c r="F607" s="261"/>
      <c r="G607" s="262"/>
      <c r="H607" s="264" t="s">
        <v>108</v>
      </c>
      <c r="I607" s="90">
        <v>0.6</v>
      </c>
      <c r="J607" s="90">
        <v>0.6</v>
      </c>
      <c r="K607" s="90">
        <v>0.6</v>
      </c>
      <c r="L607" s="90">
        <v>0.6</v>
      </c>
      <c r="M607" s="90">
        <v>0.6</v>
      </c>
      <c r="N607" s="90">
        <v>0.6</v>
      </c>
      <c r="O607" s="90">
        <v>0.6</v>
      </c>
      <c r="P607" s="90">
        <v>0.6</v>
      </c>
      <c r="Q607" s="90">
        <v>0.6</v>
      </c>
      <c r="R607" s="90">
        <v>0.6</v>
      </c>
      <c r="S607" s="90">
        <v>0.6</v>
      </c>
      <c r="T607" s="90">
        <v>0.6</v>
      </c>
      <c r="U607" s="90">
        <v>0.6</v>
      </c>
      <c r="V607" s="90">
        <v>0.6</v>
      </c>
      <c r="W607" s="90">
        <v>0.6</v>
      </c>
      <c r="X607" s="90">
        <v>0.6</v>
      </c>
      <c r="Y607" s="90">
        <v>0.6</v>
      </c>
      <c r="Z607" s="90">
        <v>0.6</v>
      </c>
      <c r="AA607" s="90">
        <v>0.6</v>
      </c>
      <c r="AB607" s="90">
        <v>0.6</v>
      </c>
      <c r="AC607" s="90">
        <v>0.6</v>
      </c>
      <c r="AD607" s="90">
        <v>0.6</v>
      </c>
      <c r="AE607" s="90">
        <v>0.6</v>
      </c>
      <c r="AF607" s="90">
        <v>0.6</v>
      </c>
      <c r="AG607" s="90">
        <v>0.6</v>
      </c>
      <c r="AH607" s="90">
        <v>0.6</v>
      </c>
      <c r="AI607" s="90">
        <v>0.6</v>
      </c>
      <c r="AJ607" s="90">
        <v>0.6</v>
      </c>
      <c r="AK607" s="90">
        <v>0.6</v>
      </c>
      <c r="AL607" s="90">
        <v>0.6</v>
      </c>
      <c r="AM607" s="90">
        <v>0.6</v>
      </c>
    </row>
    <row r="608" ht="20.25" hidden="1" customHeight="1" spans="3:39">
      <c r="C608" s="251"/>
      <c r="D608" s="251"/>
      <c r="E608" s="261"/>
      <c r="F608" s="261"/>
      <c r="G608" s="262"/>
      <c r="H608" s="264" t="s">
        <v>109</v>
      </c>
      <c r="I608" s="88" t="e">
        <f>SUM(J608:AM608)</f>
        <v>#REF!</v>
      </c>
      <c r="J608" s="88" t="e">
        <f>SUMIFS(#REF!,#REF!,$D$601,#REF!,$G606,#REF!,J$480)</f>
        <v>#REF!</v>
      </c>
      <c r="K608" s="88" t="e">
        <f>SUMIFS(#REF!,#REF!,$D$601,#REF!,$G606,#REF!,K$480)</f>
        <v>#REF!</v>
      </c>
      <c r="L608" s="88" t="e">
        <f>SUMIFS(#REF!,#REF!,$D$601,#REF!,$G606,#REF!,L$480)</f>
        <v>#REF!</v>
      </c>
      <c r="M608" s="88" t="e">
        <f>SUMIFS(#REF!,#REF!,$D$601,#REF!,$G606,#REF!,M$480)</f>
        <v>#REF!</v>
      </c>
      <c r="N608" s="88" t="e">
        <f>SUMIFS(#REF!,#REF!,$D$601,#REF!,$G606,#REF!,N$480)</f>
        <v>#REF!</v>
      </c>
      <c r="O608" s="88" t="e">
        <f>SUMIFS(#REF!,#REF!,$D$601,#REF!,$G606,#REF!,O$480)</f>
        <v>#REF!</v>
      </c>
      <c r="P608" s="88" t="e">
        <f>SUMIFS(#REF!,#REF!,$D$601,#REF!,$G606,#REF!,P$480)</f>
        <v>#REF!</v>
      </c>
      <c r="Q608" s="88" t="e">
        <f>SUMIFS(#REF!,#REF!,$D$601,#REF!,$G606,#REF!,Q$480)</f>
        <v>#REF!</v>
      </c>
      <c r="R608" s="88" t="e">
        <f>SUMIFS(#REF!,#REF!,$D$601,#REF!,$G606,#REF!,R$480)</f>
        <v>#REF!</v>
      </c>
      <c r="S608" s="88" t="e">
        <f>SUMIFS(#REF!,#REF!,$D$601,#REF!,$G606,#REF!,S$480)</f>
        <v>#REF!</v>
      </c>
      <c r="T608" s="88" t="e">
        <f>SUMIFS(#REF!,#REF!,$D$601,#REF!,$G606,#REF!,T$480)</f>
        <v>#REF!</v>
      </c>
      <c r="U608" s="88" t="e">
        <f>SUMIFS(#REF!,#REF!,$D$601,#REF!,$G606,#REF!,U$480)</f>
        <v>#REF!</v>
      </c>
      <c r="V608" s="88" t="e">
        <f>SUMIFS(#REF!,#REF!,$D$601,#REF!,$G606,#REF!,V$480)</f>
        <v>#REF!</v>
      </c>
      <c r="W608" s="88" t="e">
        <f>SUMIFS(#REF!,#REF!,$D$601,#REF!,$G606,#REF!,W$480)</f>
        <v>#REF!</v>
      </c>
      <c r="X608" s="88" t="e">
        <f>SUMIFS(#REF!,#REF!,$D$601,#REF!,$G606,#REF!,X$480)</f>
        <v>#REF!</v>
      </c>
      <c r="Y608" s="88" t="e">
        <f>SUMIFS(#REF!,#REF!,$D$601,#REF!,$G606,#REF!,Y$480)</f>
        <v>#REF!</v>
      </c>
      <c r="Z608" s="88" t="e">
        <f>SUMIFS(#REF!,#REF!,$D$601,#REF!,$G606,#REF!,Z$480)</f>
        <v>#REF!</v>
      </c>
      <c r="AA608" s="88" t="e">
        <f>SUMIFS(#REF!,#REF!,$D$601,#REF!,$G606,#REF!,AA$480)</f>
        <v>#REF!</v>
      </c>
      <c r="AB608" s="88" t="e">
        <f>SUMIFS(#REF!,#REF!,$D$601,#REF!,$G606,#REF!,AB$480)</f>
        <v>#REF!</v>
      </c>
      <c r="AC608" s="88" t="e">
        <f>SUMIFS(#REF!,#REF!,$D$601,#REF!,$G606,#REF!,AC$480)</f>
        <v>#REF!</v>
      </c>
      <c r="AD608" s="88" t="e">
        <f>SUMIFS(#REF!,#REF!,$D$601,#REF!,$G606,#REF!,AD$480)</f>
        <v>#REF!</v>
      </c>
      <c r="AE608" s="88" t="e">
        <f>SUMIFS(#REF!,#REF!,$D$601,#REF!,$G606,#REF!,AE$480)</f>
        <v>#REF!</v>
      </c>
      <c r="AF608" s="88" t="e">
        <f>SUMIFS(#REF!,#REF!,$D$601,#REF!,$G606,#REF!,AF$480)</f>
        <v>#REF!</v>
      </c>
      <c r="AG608" s="88" t="e">
        <f>SUMIFS(#REF!,#REF!,$D$601,#REF!,$G606,#REF!,AG$480)</f>
        <v>#REF!</v>
      </c>
      <c r="AH608" s="88" t="e">
        <f>SUMIFS(#REF!,#REF!,$D$601,#REF!,$G606,#REF!,AH$480)</f>
        <v>#REF!</v>
      </c>
      <c r="AI608" s="88" t="e">
        <f>SUMIFS(#REF!,#REF!,$D$601,#REF!,$G606,#REF!,AI$480)</f>
        <v>#REF!</v>
      </c>
      <c r="AJ608" s="88" t="e">
        <f>SUMIFS(#REF!,#REF!,$D$601,#REF!,$G606,#REF!,AJ$480)</f>
        <v>#REF!</v>
      </c>
      <c r="AK608" s="88" t="e">
        <f>SUMIFS(#REF!,#REF!,$D$601,#REF!,$G606,#REF!,AK$480)</f>
        <v>#REF!</v>
      </c>
      <c r="AL608" s="88" t="e">
        <f>SUMIFS(#REF!,#REF!,$D$601,#REF!,$G606,#REF!,AL$480)</f>
        <v>#REF!</v>
      </c>
      <c r="AM608" s="88" t="e">
        <f>SUMIFS(#REF!,#REF!,$D$601,#REF!,$G606,#REF!,AM$480)</f>
        <v>#REF!</v>
      </c>
    </row>
    <row r="609" ht="20.25" hidden="1" customHeight="1" spans="3:39">
      <c r="C609" s="251"/>
      <c r="D609" s="251"/>
      <c r="E609" s="261"/>
      <c r="F609" s="261"/>
      <c r="G609" s="262"/>
      <c r="H609" s="264" t="s">
        <v>110</v>
      </c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</row>
    <row r="610" ht="20.25" hidden="1" customHeight="1" spans="3:39">
      <c r="C610" s="251"/>
      <c r="D610" s="251"/>
      <c r="E610" s="261"/>
      <c r="F610" s="261"/>
      <c r="G610" s="262"/>
      <c r="H610" s="264" t="s">
        <v>111</v>
      </c>
      <c r="I610" s="90" t="e">
        <f t="shared" ref="I610:AM610" si="232">I608/I606</f>
        <v>#REF!</v>
      </c>
      <c r="J610" s="90" t="e">
        <f t="shared" si="232"/>
        <v>#REF!</v>
      </c>
      <c r="K610" s="90" t="e">
        <f t="shared" si="232"/>
        <v>#REF!</v>
      </c>
      <c r="L610" s="90" t="e">
        <f t="shared" si="232"/>
        <v>#REF!</v>
      </c>
      <c r="M610" s="90" t="e">
        <f t="shared" si="232"/>
        <v>#REF!</v>
      </c>
      <c r="N610" s="90" t="e">
        <f t="shared" si="232"/>
        <v>#REF!</v>
      </c>
      <c r="O610" s="90" t="e">
        <f t="shared" si="232"/>
        <v>#REF!</v>
      </c>
      <c r="P610" s="90" t="e">
        <f t="shared" si="232"/>
        <v>#REF!</v>
      </c>
      <c r="Q610" s="90" t="e">
        <f t="shared" si="232"/>
        <v>#REF!</v>
      </c>
      <c r="R610" s="90" t="e">
        <f t="shared" si="232"/>
        <v>#REF!</v>
      </c>
      <c r="S610" s="90" t="e">
        <f t="shared" si="232"/>
        <v>#REF!</v>
      </c>
      <c r="T610" s="90" t="e">
        <f t="shared" si="232"/>
        <v>#REF!</v>
      </c>
      <c r="U610" s="90" t="e">
        <f t="shared" si="232"/>
        <v>#REF!</v>
      </c>
      <c r="V610" s="90" t="e">
        <f t="shared" si="232"/>
        <v>#REF!</v>
      </c>
      <c r="W610" s="90" t="e">
        <f t="shared" si="232"/>
        <v>#REF!</v>
      </c>
      <c r="X610" s="90" t="e">
        <f t="shared" si="232"/>
        <v>#REF!</v>
      </c>
      <c r="Y610" s="90" t="e">
        <f t="shared" si="232"/>
        <v>#REF!</v>
      </c>
      <c r="Z610" s="90" t="e">
        <f t="shared" si="232"/>
        <v>#REF!</v>
      </c>
      <c r="AA610" s="90" t="e">
        <f t="shared" si="232"/>
        <v>#REF!</v>
      </c>
      <c r="AB610" s="90" t="e">
        <f t="shared" si="232"/>
        <v>#REF!</v>
      </c>
      <c r="AC610" s="90" t="e">
        <f t="shared" si="232"/>
        <v>#REF!</v>
      </c>
      <c r="AD610" s="90" t="e">
        <f t="shared" si="232"/>
        <v>#REF!</v>
      </c>
      <c r="AE610" s="90" t="e">
        <f t="shared" si="232"/>
        <v>#REF!</v>
      </c>
      <c r="AF610" s="90" t="e">
        <f t="shared" si="232"/>
        <v>#REF!</v>
      </c>
      <c r="AG610" s="90" t="e">
        <f t="shared" si="232"/>
        <v>#REF!</v>
      </c>
      <c r="AH610" s="90" t="e">
        <f t="shared" si="232"/>
        <v>#REF!</v>
      </c>
      <c r="AI610" s="90" t="e">
        <f t="shared" si="232"/>
        <v>#REF!</v>
      </c>
      <c r="AJ610" s="90" t="e">
        <f t="shared" si="232"/>
        <v>#REF!</v>
      </c>
      <c r="AK610" s="90" t="e">
        <f t="shared" si="232"/>
        <v>#REF!</v>
      </c>
      <c r="AL610" s="90" t="e">
        <f t="shared" si="232"/>
        <v>#REF!</v>
      </c>
      <c r="AM610" s="90" t="e">
        <f t="shared" si="232"/>
        <v>#REF!</v>
      </c>
    </row>
    <row r="611" ht="20.25" hidden="1" customHeight="1" spans="3:39">
      <c r="C611" s="251"/>
      <c r="D611" s="251"/>
      <c r="E611" s="261"/>
      <c r="F611" s="261"/>
      <c r="G611" s="259" t="s">
        <v>117</v>
      </c>
      <c r="H611" s="264" t="s">
        <v>107</v>
      </c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</row>
    <row r="612" ht="20.25" hidden="1" customHeight="1" spans="3:39">
      <c r="C612" s="251"/>
      <c r="D612" s="251"/>
      <c r="E612" s="261"/>
      <c r="F612" s="261"/>
      <c r="G612" s="262"/>
      <c r="H612" s="264" t="s">
        <v>108</v>
      </c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</row>
    <row r="613" ht="20.25" hidden="1" customHeight="1" spans="3:39">
      <c r="C613" s="251"/>
      <c r="D613" s="251"/>
      <c r="E613" s="261"/>
      <c r="F613" s="261"/>
      <c r="G613" s="262"/>
      <c r="H613" s="264" t="s">
        <v>109</v>
      </c>
      <c r="I613" s="88" t="e">
        <f>SUM(J613:AM613)</f>
        <v>#REF!</v>
      </c>
      <c r="J613" s="88" t="e">
        <f>SUMIFS(#REF!,#REF!,$D$601,#REF!,$G611,#REF!,J$480)</f>
        <v>#REF!</v>
      </c>
      <c r="K613" s="88" t="e">
        <f>SUMIFS(#REF!,#REF!,$D$601,#REF!,$G611,#REF!,K$480)</f>
        <v>#REF!</v>
      </c>
      <c r="L613" s="88" t="e">
        <f>SUMIFS(#REF!,#REF!,$D$601,#REF!,$G611,#REF!,L$480)</f>
        <v>#REF!</v>
      </c>
      <c r="M613" s="88" t="e">
        <f>SUMIFS(#REF!,#REF!,$D$601,#REF!,$G611,#REF!,M$480)</f>
        <v>#REF!</v>
      </c>
      <c r="N613" s="88" t="e">
        <f>SUMIFS(#REF!,#REF!,$D$601,#REF!,$G611,#REF!,N$480)</f>
        <v>#REF!</v>
      </c>
      <c r="O613" s="88" t="e">
        <f>SUMIFS(#REF!,#REF!,$D$601,#REF!,$G611,#REF!,O$480)</f>
        <v>#REF!</v>
      </c>
      <c r="P613" s="88" t="e">
        <f>SUMIFS(#REF!,#REF!,$D$601,#REF!,$G611,#REF!,P$480)</f>
        <v>#REF!</v>
      </c>
      <c r="Q613" s="88" t="e">
        <f>SUMIFS(#REF!,#REF!,$D$601,#REF!,$G611,#REF!,Q$480)</f>
        <v>#REF!</v>
      </c>
      <c r="R613" s="88" t="e">
        <f>SUMIFS(#REF!,#REF!,$D$601,#REF!,$G611,#REF!,R$480)</f>
        <v>#REF!</v>
      </c>
      <c r="S613" s="88" t="e">
        <f>SUMIFS(#REF!,#REF!,$D$601,#REF!,$G611,#REF!,S$480)</f>
        <v>#REF!</v>
      </c>
      <c r="T613" s="88" t="e">
        <f>SUMIFS(#REF!,#REF!,$D$601,#REF!,$G611,#REF!,T$480)</f>
        <v>#REF!</v>
      </c>
      <c r="U613" s="88" t="e">
        <f>SUMIFS(#REF!,#REF!,$D$601,#REF!,$G611,#REF!,U$480)</f>
        <v>#REF!</v>
      </c>
      <c r="V613" s="88" t="e">
        <f>SUMIFS(#REF!,#REF!,$D$601,#REF!,$G611,#REF!,V$480)</f>
        <v>#REF!</v>
      </c>
      <c r="W613" s="88" t="e">
        <f>SUMIFS(#REF!,#REF!,$D$601,#REF!,$G611,#REF!,W$480)</f>
        <v>#REF!</v>
      </c>
      <c r="X613" s="88" t="e">
        <f>SUMIFS(#REF!,#REF!,$D$601,#REF!,$G611,#REF!,X$480)</f>
        <v>#REF!</v>
      </c>
      <c r="Y613" s="88" t="e">
        <f>SUMIFS(#REF!,#REF!,$D$601,#REF!,$G611,#REF!,Y$480)</f>
        <v>#REF!</v>
      </c>
      <c r="Z613" s="88" t="e">
        <f>SUMIFS(#REF!,#REF!,$D$601,#REF!,$G611,#REF!,Z$480)</f>
        <v>#REF!</v>
      </c>
      <c r="AA613" s="88" t="e">
        <f>SUMIFS(#REF!,#REF!,$D$601,#REF!,$G611,#REF!,AA$480)</f>
        <v>#REF!</v>
      </c>
      <c r="AB613" s="88" t="e">
        <f>SUMIFS(#REF!,#REF!,$D$601,#REF!,$G611,#REF!,AB$480)</f>
        <v>#REF!</v>
      </c>
      <c r="AC613" s="88" t="e">
        <f>SUMIFS(#REF!,#REF!,$D$601,#REF!,$G611,#REF!,AC$480)</f>
        <v>#REF!</v>
      </c>
      <c r="AD613" s="88" t="e">
        <f>SUMIFS(#REF!,#REF!,$D$601,#REF!,$G611,#REF!,AD$480)</f>
        <v>#REF!</v>
      </c>
      <c r="AE613" s="88" t="e">
        <f>SUMIFS(#REF!,#REF!,$D$601,#REF!,$G611,#REF!,AE$480)</f>
        <v>#REF!</v>
      </c>
      <c r="AF613" s="88" t="e">
        <f>SUMIFS(#REF!,#REF!,$D$601,#REF!,$G611,#REF!,AF$480)</f>
        <v>#REF!</v>
      </c>
      <c r="AG613" s="88" t="e">
        <f>SUMIFS(#REF!,#REF!,$D$601,#REF!,$G611,#REF!,AG$480)</f>
        <v>#REF!</v>
      </c>
      <c r="AH613" s="88" t="e">
        <f>SUMIFS(#REF!,#REF!,$D$601,#REF!,$G611,#REF!,AH$480)</f>
        <v>#REF!</v>
      </c>
      <c r="AI613" s="88" t="e">
        <f>SUMIFS(#REF!,#REF!,$D$601,#REF!,$G611,#REF!,AI$480)</f>
        <v>#REF!</v>
      </c>
      <c r="AJ613" s="88" t="e">
        <f>SUMIFS(#REF!,#REF!,$D$601,#REF!,$G611,#REF!,AJ$480)</f>
        <v>#REF!</v>
      </c>
      <c r="AK613" s="88" t="e">
        <f>SUMIFS(#REF!,#REF!,$D$601,#REF!,$G611,#REF!,AK$480)</f>
        <v>#REF!</v>
      </c>
      <c r="AL613" s="88" t="e">
        <f>SUMIFS(#REF!,#REF!,$D$601,#REF!,$G611,#REF!,AL$480)</f>
        <v>#REF!</v>
      </c>
      <c r="AM613" s="88" t="e">
        <f>SUMIFS(#REF!,#REF!,$D$601,#REF!,$G611,#REF!,AM$480)</f>
        <v>#REF!</v>
      </c>
    </row>
    <row r="614" ht="20.25" hidden="1" customHeight="1" spans="3:39">
      <c r="C614" s="251"/>
      <c r="D614" s="251"/>
      <c r="E614" s="261"/>
      <c r="F614" s="261"/>
      <c r="G614" s="262"/>
      <c r="H614" s="264" t="s">
        <v>110</v>
      </c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</row>
    <row r="615" ht="20.25" hidden="1" customHeight="1" spans="3:39">
      <c r="C615" s="251"/>
      <c r="D615" s="251"/>
      <c r="E615" s="261"/>
      <c r="F615" s="261"/>
      <c r="G615" s="262"/>
      <c r="H615" s="264" t="s">
        <v>111</v>
      </c>
      <c r="I615" s="90" t="e">
        <f t="shared" ref="I615:AM615" si="233">I613/I611</f>
        <v>#REF!</v>
      </c>
      <c r="J615" s="90" t="e">
        <f t="shared" si="233"/>
        <v>#REF!</v>
      </c>
      <c r="K615" s="90" t="e">
        <f t="shared" si="233"/>
        <v>#REF!</v>
      </c>
      <c r="L615" s="90" t="e">
        <f t="shared" si="233"/>
        <v>#REF!</v>
      </c>
      <c r="M615" s="90" t="e">
        <f t="shared" si="233"/>
        <v>#REF!</v>
      </c>
      <c r="N615" s="90" t="e">
        <f t="shared" si="233"/>
        <v>#REF!</v>
      </c>
      <c r="O615" s="90" t="e">
        <f t="shared" si="233"/>
        <v>#REF!</v>
      </c>
      <c r="P615" s="90" t="e">
        <f t="shared" si="233"/>
        <v>#REF!</v>
      </c>
      <c r="Q615" s="90" t="e">
        <f t="shared" si="233"/>
        <v>#REF!</v>
      </c>
      <c r="R615" s="90" t="e">
        <f t="shared" si="233"/>
        <v>#REF!</v>
      </c>
      <c r="S615" s="90" t="e">
        <f t="shared" si="233"/>
        <v>#REF!</v>
      </c>
      <c r="T615" s="90" t="e">
        <f t="shared" si="233"/>
        <v>#REF!</v>
      </c>
      <c r="U615" s="90" t="e">
        <f t="shared" si="233"/>
        <v>#REF!</v>
      </c>
      <c r="V615" s="90" t="e">
        <f t="shared" si="233"/>
        <v>#REF!</v>
      </c>
      <c r="W615" s="90" t="e">
        <f t="shared" si="233"/>
        <v>#REF!</v>
      </c>
      <c r="X615" s="90" t="e">
        <f t="shared" si="233"/>
        <v>#REF!</v>
      </c>
      <c r="Y615" s="90" t="e">
        <f t="shared" si="233"/>
        <v>#REF!</v>
      </c>
      <c r="Z615" s="90" t="e">
        <f t="shared" si="233"/>
        <v>#REF!</v>
      </c>
      <c r="AA615" s="90" t="e">
        <f t="shared" si="233"/>
        <v>#REF!</v>
      </c>
      <c r="AB615" s="90" t="e">
        <f t="shared" si="233"/>
        <v>#REF!</v>
      </c>
      <c r="AC615" s="90" t="e">
        <f t="shared" si="233"/>
        <v>#REF!</v>
      </c>
      <c r="AD615" s="90" t="e">
        <f t="shared" si="233"/>
        <v>#REF!</v>
      </c>
      <c r="AE615" s="90" t="e">
        <f t="shared" si="233"/>
        <v>#REF!</v>
      </c>
      <c r="AF615" s="90" t="e">
        <f t="shared" si="233"/>
        <v>#REF!</v>
      </c>
      <c r="AG615" s="90" t="e">
        <f t="shared" si="233"/>
        <v>#REF!</v>
      </c>
      <c r="AH615" s="90" t="e">
        <f t="shared" si="233"/>
        <v>#REF!</v>
      </c>
      <c r="AI615" s="90" t="e">
        <f t="shared" si="233"/>
        <v>#REF!</v>
      </c>
      <c r="AJ615" s="90" t="e">
        <f t="shared" si="233"/>
        <v>#REF!</v>
      </c>
      <c r="AK615" s="90" t="e">
        <f t="shared" si="233"/>
        <v>#REF!</v>
      </c>
      <c r="AL615" s="90" t="e">
        <f t="shared" si="233"/>
        <v>#REF!</v>
      </c>
      <c r="AM615" s="90" t="e">
        <f t="shared" si="233"/>
        <v>#REF!</v>
      </c>
    </row>
    <row r="616" ht="20.25" hidden="1" customHeight="1" spans="3:39">
      <c r="C616" s="251"/>
      <c r="D616" s="251"/>
      <c r="E616" s="261"/>
      <c r="F616" s="261"/>
      <c r="G616" s="259" t="s">
        <v>118</v>
      </c>
      <c r="H616" s="264" t="s">
        <v>107</v>
      </c>
      <c r="I616" s="88">
        <v>6000</v>
      </c>
      <c r="J616" s="88">
        <v>240</v>
      </c>
      <c r="K616" s="88">
        <v>230</v>
      </c>
      <c r="L616" s="88">
        <v>230</v>
      </c>
      <c r="M616" s="88">
        <v>180</v>
      </c>
      <c r="N616" s="88">
        <v>166</v>
      </c>
      <c r="O616" s="88">
        <v>150</v>
      </c>
      <c r="P616" s="88">
        <v>162</v>
      </c>
      <c r="Q616" s="88">
        <v>162</v>
      </c>
      <c r="R616" s="88">
        <v>167</v>
      </c>
      <c r="S616" s="88">
        <v>172</v>
      </c>
      <c r="T616" s="88">
        <v>172</v>
      </c>
      <c r="U616" s="88">
        <v>166</v>
      </c>
      <c r="V616" s="88">
        <v>171</v>
      </c>
      <c r="W616" s="88">
        <v>219</v>
      </c>
      <c r="X616" s="88">
        <v>223</v>
      </c>
      <c r="Y616" s="88">
        <v>276</v>
      </c>
      <c r="Z616" s="88">
        <v>345</v>
      </c>
      <c r="AA616" s="88">
        <v>719</v>
      </c>
      <c r="AB616" s="88">
        <v>280</v>
      </c>
      <c r="AC616" s="88">
        <v>230</v>
      </c>
      <c r="AD616" s="88">
        <v>131</v>
      </c>
      <c r="AE616" s="88">
        <v>131</v>
      </c>
      <c r="AF616" s="88">
        <v>131</v>
      </c>
      <c r="AG616" s="88">
        <v>137</v>
      </c>
      <c r="AH616" s="88">
        <v>131</v>
      </c>
      <c r="AI616" s="88">
        <v>142</v>
      </c>
      <c r="AJ616" s="88">
        <v>121</v>
      </c>
      <c r="AK616" s="88">
        <v>139</v>
      </c>
      <c r="AL616" s="88">
        <v>137</v>
      </c>
      <c r="AM616" s="88">
        <v>137</v>
      </c>
    </row>
    <row r="617" ht="20.25" hidden="1" customHeight="1" spans="3:39">
      <c r="C617" s="251"/>
      <c r="D617" s="251"/>
      <c r="E617" s="261"/>
      <c r="F617" s="261"/>
      <c r="G617" s="262"/>
      <c r="H617" s="264" t="s">
        <v>108</v>
      </c>
      <c r="I617" s="90">
        <v>0.4</v>
      </c>
      <c r="J617" s="90">
        <v>0.4</v>
      </c>
      <c r="K617" s="90">
        <v>0.4</v>
      </c>
      <c r="L617" s="90">
        <v>0.4</v>
      </c>
      <c r="M617" s="90">
        <v>0.4</v>
      </c>
      <c r="N617" s="90">
        <v>0.4</v>
      </c>
      <c r="O617" s="90">
        <v>0.4</v>
      </c>
      <c r="P617" s="90">
        <v>0.4</v>
      </c>
      <c r="Q617" s="90">
        <v>0.4</v>
      </c>
      <c r="R617" s="90">
        <v>0.4</v>
      </c>
      <c r="S617" s="90">
        <v>0.4</v>
      </c>
      <c r="T617" s="90">
        <v>0.4</v>
      </c>
      <c r="U617" s="90">
        <v>0.4</v>
      </c>
      <c r="V617" s="90">
        <v>0.4</v>
      </c>
      <c r="W617" s="90">
        <v>0.4</v>
      </c>
      <c r="X617" s="90">
        <v>0.4</v>
      </c>
      <c r="Y617" s="90">
        <v>0.4</v>
      </c>
      <c r="Z617" s="90">
        <v>0.4</v>
      </c>
      <c r="AA617" s="90">
        <v>0.4</v>
      </c>
      <c r="AB617" s="90">
        <v>0.4</v>
      </c>
      <c r="AC617" s="90">
        <v>0.4</v>
      </c>
      <c r="AD617" s="90">
        <v>0.4</v>
      </c>
      <c r="AE617" s="90">
        <v>0.4</v>
      </c>
      <c r="AF617" s="90">
        <v>0.4</v>
      </c>
      <c r="AG617" s="90">
        <v>0.4</v>
      </c>
      <c r="AH617" s="90">
        <v>0.4</v>
      </c>
      <c r="AI617" s="90">
        <v>0.4</v>
      </c>
      <c r="AJ617" s="90">
        <v>0.4</v>
      </c>
      <c r="AK617" s="90">
        <v>0.4</v>
      </c>
      <c r="AL617" s="90">
        <v>0.4</v>
      </c>
      <c r="AM617" s="90">
        <v>0.4</v>
      </c>
    </row>
    <row r="618" ht="20.25" hidden="1" customHeight="1" spans="3:39">
      <c r="C618" s="251"/>
      <c r="D618" s="251"/>
      <c r="E618" s="261"/>
      <c r="F618" s="261"/>
      <c r="G618" s="262"/>
      <c r="H618" s="264" t="s">
        <v>109</v>
      </c>
      <c r="I618" s="88" t="e">
        <f>SUM(J618:AM618)</f>
        <v>#REF!</v>
      </c>
      <c r="J618" s="88" t="e">
        <f>SUMIFS(#REF!,#REF!,$D$601,#REF!,$G616,#REF!,J$480)</f>
        <v>#REF!</v>
      </c>
      <c r="K618" s="88" t="e">
        <f>SUMIFS(#REF!,#REF!,$D$601,#REF!,$G616,#REF!,K$480)</f>
        <v>#REF!</v>
      </c>
      <c r="L618" s="88" t="e">
        <f>SUMIFS(#REF!,#REF!,$D$601,#REF!,$G616,#REF!,L$480)</f>
        <v>#REF!</v>
      </c>
      <c r="M618" s="88" t="e">
        <f>SUMIFS(#REF!,#REF!,$D$601,#REF!,$G616,#REF!,M$480)</f>
        <v>#REF!</v>
      </c>
      <c r="N618" s="88" t="e">
        <f>SUMIFS(#REF!,#REF!,$D$601,#REF!,$G616,#REF!,N$480)</f>
        <v>#REF!</v>
      </c>
      <c r="O618" s="88" t="e">
        <f>SUMIFS(#REF!,#REF!,$D$601,#REF!,$G616,#REF!,O$480)</f>
        <v>#REF!</v>
      </c>
      <c r="P618" s="88" t="e">
        <f>SUMIFS(#REF!,#REF!,$D$601,#REF!,$G616,#REF!,P$480)</f>
        <v>#REF!</v>
      </c>
      <c r="Q618" s="88" t="e">
        <f>SUMIFS(#REF!,#REF!,$D$601,#REF!,$G616,#REF!,Q$480)</f>
        <v>#REF!</v>
      </c>
      <c r="R618" s="88" t="e">
        <f>SUMIFS(#REF!,#REF!,$D$601,#REF!,$G616,#REF!,R$480)</f>
        <v>#REF!</v>
      </c>
      <c r="S618" s="88" t="e">
        <f>SUMIFS(#REF!,#REF!,$D$601,#REF!,$G616,#REF!,S$480)</f>
        <v>#REF!</v>
      </c>
      <c r="T618" s="88" t="e">
        <f>SUMIFS(#REF!,#REF!,$D$601,#REF!,$G616,#REF!,T$480)</f>
        <v>#REF!</v>
      </c>
      <c r="U618" s="88" t="e">
        <f>SUMIFS(#REF!,#REF!,$D$601,#REF!,$G616,#REF!,U$480)</f>
        <v>#REF!</v>
      </c>
      <c r="V618" s="88" t="e">
        <f>SUMIFS(#REF!,#REF!,$D$601,#REF!,$G616,#REF!,V$480)</f>
        <v>#REF!</v>
      </c>
      <c r="W618" s="88" t="e">
        <f>SUMIFS(#REF!,#REF!,$D$601,#REF!,$G616,#REF!,W$480)</f>
        <v>#REF!</v>
      </c>
      <c r="X618" s="88" t="e">
        <f>SUMIFS(#REF!,#REF!,$D$601,#REF!,$G616,#REF!,X$480)</f>
        <v>#REF!</v>
      </c>
      <c r="Y618" s="88" t="e">
        <f>SUMIFS(#REF!,#REF!,$D$601,#REF!,$G616,#REF!,Y$480)</f>
        <v>#REF!</v>
      </c>
      <c r="Z618" s="88" t="e">
        <f>SUMIFS(#REF!,#REF!,$D$601,#REF!,$G616,#REF!,Z$480)</f>
        <v>#REF!</v>
      </c>
      <c r="AA618" s="88" t="e">
        <f>SUMIFS(#REF!,#REF!,$D$601,#REF!,$G616,#REF!,AA$480)</f>
        <v>#REF!</v>
      </c>
      <c r="AB618" s="88" t="e">
        <f>SUMIFS(#REF!,#REF!,$D$601,#REF!,$G616,#REF!,AB$480)</f>
        <v>#REF!</v>
      </c>
      <c r="AC618" s="88" t="e">
        <f>SUMIFS(#REF!,#REF!,$D$601,#REF!,$G616,#REF!,AC$480)</f>
        <v>#REF!</v>
      </c>
      <c r="AD618" s="88" t="e">
        <f>SUMIFS(#REF!,#REF!,$D$601,#REF!,$G616,#REF!,AD$480)</f>
        <v>#REF!</v>
      </c>
      <c r="AE618" s="88" t="e">
        <f>SUMIFS(#REF!,#REF!,$D$601,#REF!,$G616,#REF!,AE$480)</f>
        <v>#REF!</v>
      </c>
      <c r="AF618" s="88" t="e">
        <f>SUMIFS(#REF!,#REF!,$D$601,#REF!,$G616,#REF!,AF$480)</f>
        <v>#REF!</v>
      </c>
      <c r="AG618" s="88" t="e">
        <f>SUMIFS(#REF!,#REF!,$D$601,#REF!,$G616,#REF!,AG$480)</f>
        <v>#REF!</v>
      </c>
      <c r="AH618" s="88" t="e">
        <f>SUMIFS(#REF!,#REF!,$D$601,#REF!,$G616,#REF!,AH$480)</f>
        <v>#REF!</v>
      </c>
      <c r="AI618" s="88" t="e">
        <f>SUMIFS(#REF!,#REF!,$D$601,#REF!,$G616,#REF!,AI$480)</f>
        <v>#REF!</v>
      </c>
      <c r="AJ618" s="88" t="e">
        <f>SUMIFS(#REF!,#REF!,$D$601,#REF!,$G616,#REF!,AJ$480)</f>
        <v>#REF!</v>
      </c>
      <c r="AK618" s="88" t="e">
        <f>SUMIFS(#REF!,#REF!,$D$601,#REF!,$G616,#REF!,AK$480)</f>
        <v>#REF!</v>
      </c>
      <c r="AL618" s="88" t="e">
        <f>SUMIFS(#REF!,#REF!,$D$601,#REF!,$G616,#REF!,AL$480)</f>
        <v>#REF!</v>
      </c>
      <c r="AM618" s="88" t="e">
        <f>SUMIFS(#REF!,#REF!,$D$601,#REF!,$G616,#REF!,AM$480)</f>
        <v>#REF!</v>
      </c>
    </row>
    <row r="619" ht="20.25" hidden="1" customHeight="1" spans="3:39">
      <c r="C619" s="251"/>
      <c r="D619" s="251"/>
      <c r="E619" s="261"/>
      <c r="F619" s="261"/>
      <c r="G619" s="262"/>
      <c r="H619" s="264" t="s">
        <v>110</v>
      </c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</row>
    <row r="620" ht="20.25" hidden="1" customHeight="1" spans="3:39">
      <c r="C620" s="251"/>
      <c r="D620" s="251"/>
      <c r="E620" s="261"/>
      <c r="F620" s="261"/>
      <c r="G620" s="262"/>
      <c r="H620" s="264" t="s">
        <v>111</v>
      </c>
      <c r="I620" s="90" t="e">
        <f t="shared" ref="I620:AM620" si="234">I618/I616</f>
        <v>#REF!</v>
      </c>
      <c r="J620" s="90" t="e">
        <f t="shared" si="234"/>
        <v>#REF!</v>
      </c>
      <c r="K620" s="90" t="e">
        <f t="shared" si="234"/>
        <v>#REF!</v>
      </c>
      <c r="L620" s="90" t="e">
        <f t="shared" si="234"/>
        <v>#REF!</v>
      </c>
      <c r="M620" s="90" t="e">
        <f t="shared" si="234"/>
        <v>#REF!</v>
      </c>
      <c r="N620" s="90" t="e">
        <f t="shared" si="234"/>
        <v>#REF!</v>
      </c>
      <c r="O620" s="90" t="e">
        <f t="shared" si="234"/>
        <v>#REF!</v>
      </c>
      <c r="P620" s="90" t="e">
        <f t="shared" si="234"/>
        <v>#REF!</v>
      </c>
      <c r="Q620" s="90" t="e">
        <f t="shared" si="234"/>
        <v>#REF!</v>
      </c>
      <c r="R620" s="90" t="e">
        <f t="shared" si="234"/>
        <v>#REF!</v>
      </c>
      <c r="S620" s="90" t="e">
        <f t="shared" si="234"/>
        <v>#REF!</v>
      </c>
      <c r="T620" s="90" t="e">
        <f t="shared" si="234"/>
        <v>#REF!</v>
      </c>
      <c r="U620" s="90" t="e">
        <f t="shared" si="234"/>
        <v>#REF!</v>
      </c>
      <c r="V620" s="90" t="e">
        <f t="shared" si="234"/>
        <v>#REF!</v>
      </c>
      <c r="W620" s="90" t="e">
        <f t="shared" si="234"/>
        <v>#REF!</v>
      </c>
      <c r="X620" s="90" t="e">
        <f t="shared" si="234"/>
        <v>#REF!</v>
      </c>
      <c r="Y620" s="90" t="e">
        <f t="shared" si="234"/>
        <v>#REF!</v>
      </c>
      <c r="Z620" s="90" t="e">
        <f t="shared" si="234"/>
        <v>#REF!</v>
      </c>
      <c r="AA620" s="90" t="e">
        <f t="shared" si="234"/>
        <v>#REF!</v>
      </c>
      <c r="AB620" s="90" t="e">
        <f t="shared" si="234"/>
        <v>#REF!</v>
      </c>
      <c r="AC620" s="90" t="e">
        <f t="shared" si="234"/>
        <v>#REF!</v>
      </c>
      <c r="AD620" s="90" t="e">
        <f t="shared" si="234"/>
        <v>#REF!</v>
      </c>
      <c r="AE620" s="90" t="e">
        <f t="shared" si="234"/>
        <v>#REF!</v>
      </c>
      <c r="AF620" s="90" t="e">
        <f t="shared" si="234"/>
        <v>#REF!</v>
      </c>
      <c r="AG620" s="90" t="e">
        <f t="shared" si="234"/>
        <v>#REF!</v>
      </c>
      <c r="AH620" s="90" t="e">
        <f t="shared" si="234"/>
        <v>#REF!</v>
      </c>
      <c r="AI620" s="90" t="e">
        <f t="shared" si="234"/>
        <v>#REF!</v>
      </c>
      <c r="AJ620" s="90" t="e">
        <f t="shared" si="234"/>
        <v>#REF!</v>
      </c>
      <c r="AK620" s="90" t="e">
        <f t="shared" si="234"/>
        <v>#REF!</v>
      </c>
      <c r="AL620" s="90" t="e">
        <f t="shared" si="234"/>
        <v>#REF!</v>
      </c>
      <c r="AM620" s="90" t="e">
        <f t="shared" si="234"/>
        <v>#REF!</v>
      </c>
    </row>
    <row r="621" ht="20.25" hidden="1" customHeight="1" spans="3:39">
      <c r="C621" s="251"/>
      <c r="D621" s="251"/>
      <c r="E621" s="261"/>
      <c r="F621" s="261"/>
      <c r="G621" s="259" t="s">
        <v>119</v>
      </c>
      <c r="H621" s="264" t="s">
        <v>107</v>
      </c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</row>
    <row r="622" ht="20.25" hidden="1" customHeight="1" spans="3:39">
      <c r="C622" s="251"/>
      <c r="D622" s="251"/>
      <c r="E622" s="261"/>
      <c r="F622" s="261"/>
      <c r="G622" s="262"/>
      <c r="H622" s="264" t="s">
        <v>108</v>
      </c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</row>
    <row r="623" ht="20.25" hidden="1" customHeight="1" spans="3:39">
      <c r="C623" s="251"/>
      <c r="D623" s="251"/>
      <c r="E623" s="261"/>
      <c r="F623" s="261"/>
      <c r="G623" s="262"/>
      <c r="H623" s="264" t="s">
        <v>109</v>
      </c>
      <c r="I623" s="88" t="e">
        <f>SUM(J623:AM623)</f>
        <v>#REF!</v>
      </c>
      <c r="J623" s="88" t="e">
        <f>SUMIFS(#REF!,#REF!,$D$601,#REF!,$G621,#REF!,J$480)</f>
        <v>#REF!</v>
      </c>
      <c r="K623" s="88" t="e">
        <f>SUMIFS(#REF!,#REF!,$D$601,#REF!,$G621,#REF!,K$480)</f>
        <v>#REF!</v>
      </c>
      <c r="L623" s="88" t="e">
        <f>SUMIFS(#REF!,#REF!,$D$601,#REF!,$G621,#REF!,L$480)</f>
        <v>#REF!</v>
      </c>
      <c r="M623" s="88" t="e">
        <f>SUMIFS(#REF!,#REF!,$D$601,#REF!,$G621,#REF!,M$480)</f>
        <v>#REF!</v>
      </c>
      <c r="N623" s="88" t="e">
        <f>SUMIFS(#REF!,#REF!,$D$601,#REF!,$G621,#REF!,N$480)</f>
        <v>#REF!</v>
      </c>
      <c r="O623" s="88" t="e">
        <f>SUMIFS(#REF!,#REF!,$D$601,#REF!,$G621,#REF!,O$480)</f>
        <v>#REF!</v>
      </c>
      <c r="P623" s="88" t="e">
        <f>SUMIFS(#REF!,#REF!,$D$601,#REF!,$G621,#REF!,P$480)</f>
        <v>#REF!</v>
      </c>
      <c r="Q623" s="88" t="e">
        <f>SUMIFS(#REF!,#REF!,$D$601,#REF!,$G621,#REF!,Q$480)</f>
        <v>#REF!</v>
      </c>
      <c r="R623" s="88" t="e">
        <f>SUMIFS(#REF!,#REF!,$D$601,#REF!,$G621,#REF!,R$480)</f>
        <v>#REF!</v>
      </c>
      <c r="S623" s="88" t="e">
        <f>SUMIFS(#REF!,#REF!,$D$601,#REF!,$G621,#REF!,S$480)</f>
        <v>#REF!</v>
      </c>
      <c r="T623" s="88" t="e">
        <f>SUMIFS(#REF!,#REF!,$D$601,#REF!,$G621,#REF!,T$480)</f>
        <v>#REF!</v>
      </c>
      <c r="U623" s="88" t="e">
        <f>SUMIFS(#REF!,#REF!,$D$601,#REF!,$G621,#REF!,U$480)</f>
        <v>#REF!</v>
      </c>
      <c r="V623" s="88" t="e">
        <f>SUMIFS(#REF!,#REF!,$D$601,#REF!,$G621,#REF!,V$480)</f>
        <v>#REF!</v>
      </c>
      <c r="W623" s="88" t="e">
        <f>SUMIFS(#REF!,#REF!,$D$601,#REF!,$G621,#REF!,W$480)</f>
        <v>#REF!</v>
      </c>
      <c r="X623" s="88" t="e">
        <f>SUMIFS(#REF!,#REF!,$D$601,#REF!,$G621,#REF!,X$480)</f>
        <v>#REF!</v>
      </c>
      <c r="Y623" s="88" t="e">
        <f>SUMIFS(#REF!,#REF!,$D$601,#REF!,$G621,#REF!,Y$480)</f>
        <v>#REF!</v>
      </c>
      <c r="Z623" s="88" t="e">
        <f>SUMIFS(#REF!,#REF!,$D$601,#REF!,$G621,#REF!,Z$480)</f>
        <v>#REF!</v>
      </c>
      <c r="AA623" s="88" t="e">
        <f>SUMIFS(#REF!,#REF!,$D$601,#REF!,$G621,#REF!,AA$480)</f>
        <v>#REF!</v>
      </c>
      <c r="AB623" s="88" t="e">
        <f>SUMIFS(#REF!,#REF!,$D$601,#REF!,$G621,#REF!,AB$480)</f>
        <v>#REF!</v>
      </c>
      <c r="AC623" s="88" t="e">
        <f>SUMIFS(#REF!,#REF!,$D$601,#REF!,$G621,#REF!,AC$480)</f>
        <v>#REF!</v>
      </c>
      <c r="AD623" s="88" t="e">
        <f>SUMIFS(#REF!,#REF!,$D$601,#REF!,$G621,#REF!,AD$480)</f>
        <v>#REF!</v>
      </c>
      <c r="AE623" s="88" t="e">
        <f>SUMIFS(#REF!,#REF!,$D$601,#REF!,$G621,#REF!,AE$480)</f>
        <v>#REF!</v>
      </c>
      <c r="AF623" s="88" t="e">
        <f>SUMIFS(#REF!,#REF!,$D$601,#REF!,$G621,#REF!,AF$480)</f>
        <v>#REF!</v>
      </c>
      <c r="AG623" s="88" t="e">
        <f>SUMIFS(#REF!,#REF!,$D$601,#REF!,$G621,#REF!,AG$480)</f>
        <v>#REF!</v>
      </c>
      <c r="AH623" s="88" t="e">
        <f>SUMIFS(#REF!,#REF!,$D$601,#REF!,$G621,#REF!,AH$480)</f>
        <v>#REF!</v>
      </c>
      <c r="AI623" s="88" t="e">
        <f>SUMIFS(#REF!,#REF!,$D$601,#REF!,$G621,#REF!,AI$480)</f>
        <v>#REF!</v>
      </c>
      <c r="AJ623" s="88" t="e">
        <f>SUMIFS(#REF!,#REF!,$D$601,#REF!,$G621,#REF!,AJ$480)</f>
        <v>#REF!</v>
      </c>
      <c r="AK623" s="88" t="e">
        <f>SUMIFS(#REF!,#REF!,$D$601,#REF!,$G621,#REF!,AK$480)</f>
        <v>#REF!</v>
      </c>
      <c r="AL623" s="88" t="e">
        <f>SUMIFS(#REF!,#REF!,$D$601,#REF!,$G621,#REF!,AL$480)</f>
        <v>#REF!</v>
      </c>
      <c r="AM623" s="88" t="e">
        <f>SUMIFS(#REF!,#REF!,$D$601,#REF!,$G621,#REF!,AM$480)</f>
        <v>#REF!</v>
      </c>
    </row>
    <row r="624" ht="20.25" hidden="1" customHeight="1" spans="3:39">
      <c r="C624" s="251"/>
      <c r="D624" s="251"/>
      <c r="E624" s="261"/>
      <c r="F624" s="261"/>
      <c r="G624" s="262"/>
      <c r="H624" s="264" t="s">
        <v>110</v>
      </c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</row>
    <row r="625" ht="20.25" hidden="1" customHeight="1" spans="3:39">
      <c r="C625" s="251"/>
      <c r="D625" s="251"/>
      <c r="E625" s="261"/>
      <c r="F625" s="261"/>
      <c r="G625" s="262"/>
      <c r="H625" s="264" t="s">
        <v>111</v>
      </c>
      <c r="I625" s="90" t="e">
        <f t="shared" ref="I625:AM625" si="235">I623/I621</f>
        <v>#REF!</v>
      </c>
      <c r="J625" s="90" t="e">
        <f t="shared" si="235"/>
        <v>#REF!</v>
      </c>
      <c r="K625" s="90" t="e">
        <f t="shared" si="235"/>
        <v>#REF!</v>
      </c>
      <c r="L625" s="90" t="e">
        <f t="shared" si="235"/>
        <v>#REF!</v>
      </c>
      <c r="M625" s="90" t="e">
        <f t="shared" si="235"/>
        <v>#REF!</v>
      </c>
      <c r="N625" s="90" t="e">
        <f t="shared" si="235"/>
        <v>#REF!</v>
      </c>
      <c r="O625" s="90" t="e">
        <f t="shared" si="235"/>
        <v>#REF!</v>
      </c>
      <c r="P625" s="90" t="e">
        <f t="shared" si="235"/>
        <v>#REF!</v>
      </c>
      <c r="Q625" s="90" t="e">
        <f t="shared" si="235"/>
        <v>#REF!</v>
      </c>
      <c r="R625" s="90" t="e">
        <f t="shared" si="235"/>
        <v>#REF!</v>
      </c>
      <c r="S625" s="90" t="e">
        <f t="shared" si="235"/>
        <v>#REF!</v>
      </c>
      <c r="T625" s="90" t="e">
        <f t="shared" si="235"/>
        <v>#REF!</v>
      </c>
      <c r="U625" s="90" t="e">
        <f t="shared" si="235"/>
        <v>#REF!</v>
      </c>
      <c r="V625" s="90" t="e">
        <f t="shared" si="235"/>
        <v>#REF!</v>
      </c>
      <c r="W625" s="90" t="e">
        <f t="shared" si="235"/>
        <v>#REF!</v>
      </c>
      <c r="X625" s="90" t="e">
        <f t="shared" si="235"/>
        <v>#REF!</v>
      </c>
      <c r="Y625" s="90" t="e">
        <f t="shared" si="235"/>
        <v>#REF!</v>
      </c>
      <c r="Z625" s="90" t="e">
        <f t="shared" si="235"/>
        <v>#REF!</v>
      </c>
      <c r="AA625" s="90" t="e">
        <f t="shared" si="235"/>
        <v>#REF!</v>
      </c>
      <c r="AB625" s="90" t="e">
        <f t="shared" si="235"/>
        <v>#REF!</v>
      </c>
      <c r="AC625" s="90" t="e">
        <f t="shared" si="235"/>
        <v>#REF!</v>
      </c>
      <c r="AD625" s="90" t="e">
        <f t="shared" si="235"/>
        <v>#REF!</v>
      </c>
      <c r="AE625" s="90" t="e">
        <f t="shared" si="235"/>
        <v>#REF!</v>
      </c>
      <c r="AF625" s="90" t="e">
        <f t="shared" si="235"/>
        <v>#REF!</v>
      </c>
      <c r="AG625" s="90" t="e">
        <f t="shared" si="235"/>
        <v>#REF!</v>
      </c>
      <c r="AH625" s="90" t="e">
        <f t="shared" si="235"/>
        <v>#REF!</v>
      </c>
      <c r="AI625" s="90" t="e">
        <f t="shared" si="235"/>
        <v>#REF!</v>
      </c>
      <c r="AJ625" s="90" t="e">
        <f t="shared" si="235"/>
        <v>#REF!</v>
      </c>
      <c r="AK625" s="90" t="e">
        <f t="shared" si="235"/>
        <v>#REF!</v>
      </c>
      <c r="AL625" s="90" t="e">
        <f t="shared" si="235"/>
        <v>#REF!</v>
      </c>
      <c r="AM625" s="90" t="e">
        <f t="shared" si="235"/>
        <v>#REF!</v>
      </c>
    </row>
    <row r="626" ht="20.25" hidden="1" customHeight="1" spans="3:39">
      <c r="C626" s="251"/>
      <c r="D626" s="251"/>
      <c r="E626" s="261"/>
      <c r="F626" s="261"/>
      <c r="G626" s="263" t="s">
        <v>94</v>
      </c>
      <c r="H626" s="264" t="s">
        <v>107</v>
      </c>
      <c r="I626" s="88">
        <v>14999</v>
      </c>
      <c r="J626" s="88">
        <v>600</v>
      </c>
      <c r="K626" s="88">
        <v>576</v>
      </c>
      <c r="L626" s="88">
        <v>576</v>
      </c>
      <c r="M626" s="88">
        <v>451</v>
      </c>
      <c r="N626" s="88">
        <v>416</v>
      </c>
      <c r="O626" s="88">
        <v>376</v>
      </c>
      <c r="P626" s="88">
        <v>406</v>
      </c>
      <c r="Q626" s="88">
        <v>405</v>
      </c>
      <c r="R626" s="88">
        <v>418</v>
      </c>
      <c r="S626" s="88">
        <v>429</v>
      </c>
      <c r="T626" s="88">
        <v>429</v>
      </c>
      <c r="U626" s="88">
        <v>416</v>
      </c>
      <c r="V626" s="88">
        <v>428</v>
      </c>
      <c r="W626" s="88">
        <v>548</v>
      </c>
      <c r="X626" s="88">
        <v>558</v>
      </c>
      <c r="Y626" s="88">
        <v>690</v>
      </c>
      <c r="Z626" s="88">
        <v>863</v>
      </c>
      <c r="AA626" s="88">
        <v>1797</v>
      </c>
      <c r="AB626" s="88">
        <v>699</v>
      </c>
      <c r="AC626" s="88">
        <v>575</v>
      </c>
      <c r="AD626" s="88">
        <v>327</v>
      </c>
      <c r="AE626" s="88">
        <v>327</v>
      </c>
      <c r="AF626" s="88">
        <v>328</v>
      </c>
      <c r="AG626" s="88">
        <v>342</v>
      </c>
      <c r="AH626" s="88">
        <v>328</v>
      </c>
      <c r="AI626" s="88">
        <v>355</v>
      </c>
      <c r="AJ626" s="88">
        <v>303</v>
      </c>
      <c r="AK626" s="88">
        <v>347</v>
      </c>
      <c r="AL626" s="88">
        <v>343</v>
      </c>
      <c r="AM626" s="88">
        <v>343</v>
      </c>
    </row>
    <row r="627" ht="20.25" hidden="1" customHeight="1" spans="3:39">
      <c r="C627" s="251"/>
      <c r="D627" s="251"/>
      <c r="E627" s="261"/>
      <c r="F627" s="261"/>
      <c r="G627" s="262"/>
      <c r="H627" s="264" t="s">
        <v>108</v>
      </c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</row>
    <row r="628" ht="20.25" hidden="1" customHeight="1" spans="3:39">
      <c r="C628" s="251"/>
      <c r="D628" s="251"/>
      <c r="E628" s="261"/>
      <c r="F628" s="261"/>
      <c r="G628" s="262"/>
      <c r="H628" s="264" t="s">
        <v>109</v>
      </c>
      <c r="I628" s="88" t="e">
        <f>SUM(J628:AM628)</f>
        <v>#REF!</v>
      </c>
      <c r="J628" s="88" t="e">
        <f t="shared" ref="J628:AM628" si="236">J623+J618+J613+J608+J603</f>
        <v>#REF!</v>
      </c>
      <c r="K628" s="88" t="e">
        <f t="shared" si="236"/>
        <v>#REF!</v>
      </c>
      <c r="L628" s="88" t="e">
        <f t="shared" si="236"/>
        <v>#REF!</v>
      </c>
      <c r="M628" s="88" t="e">
        <f t="shared" si="236"/>
        <v>#REF!</v>
      </c>
      <c r="N628" s="88" t="e">
        <f t="shared" si="236"/>
        <v>#REF!</v>
      </c>
      <c r="O628" s="88" t="e">
        <f t="shared" si="236"/>
        <v>#REF!</v>
      </c>
      <c r="P628" s="88" t="e">
        <f t="shared" si="236"/>
        <v>#REF!</v>
      </c>
      <c r="Q628" s="88" t="e">
        <f t="shared" si="236"/>
        <v>#REF!</v>
      </c>
      <c r="R628" s="88" t="e">
        <f t="shared" si="236"/>
        <v>#REF!</v>
      </c>
      <c r="S628" s="88" t="e">
        <f t="shared" si="236"/>
        <v>#REF!</v>
      </c>
      <c r="T628" s="88" t="e">
        <f t="shared" si="236"/>
        <v>#REF!</v>
      </c>
      <c r="U628" s="88" t="e">
        <f t="shared" si="236"/>
        <v>#REF!</v>
      </c>
      <c r="V628" s="88" t="e">
        <f t="shared" si="236"/>
        <v>#REF!</v>
      </c>
      <c r="W628" s="88" t="e">
        <f t="shared" si="236"/>
        <v>#REF!</v>
      </c>
      <c r="X628" s="88" t="e">
        <f t="shared" si="236"/>
        <v>#REF!</v>
      </c>
      <c r="Y628" s="88" t="e">
        <f t="shared" si="236"/>
        <v>#REF!</v>
      </c>
      <c r="Z628" s="88" t="e">
        <f t="shared" si="236"/>
        <v>#REF!</v>
      </c>
      <c r="AA628" s="88" t="e">
        <f t="shared" si="236"/>
        <v>#REF!</v>
      </c>
      <c r="AB628" s="88" t="e">
        <f t="shared" si="236"/>
        <v>#REF!</v>
      </c>
      <c r="AC628" s="88" t="e">
        <f t="shared" si="236"/>
        <v>#REF!</v>
      </c>
      <c r="AD628" s="88" t="e">
        <f t="shared" si="236"/>
        <v>#REF!</v>
      </c>
      <c r="AE628" s="88" t="e">
        <f t="shared" si="236"/>
        <v>#REF!</v>
      </c>
      <c r="AF628" s="88" t="e">
        <f t="shared" si="236"/>
        <v>#REF!</v>
      </c>
      <c r="AG628" s="88" t="e">
        <f t="shared" si="236"/>
        <v>#REF!</v>
      </c>
      <c r="AH628" s="88" t="e">
        <f t="shared" si="236"/>
        <v>#REF!</v>
      </c>
      <c r="AI628" s="88" t="e">
        <f t="shared" si="236"/>
        <v>#REF!</v>
      </c>
      <c r="AJ628" s="88" t="e">
        <f t="shared" si="236"/>
        <v>#REF!</v>
      </c>
      <c r="AK628" s="88" t="e">
        <f t="shared" si="236"/>
        <v>#REF!</v>
      </c>
      <c r="AL628" s="88" t="e">
        <f t="shared" si="236"/>
        <v>#REF!</v>
      </c>
      <c r="AM628" s="88" t="e">
        <f t="shared" si="236"/>
        <v>#REF!</v>
      </c>
    </row>
    <row r="629" ht="20.25" hidden="1" customHeight="1" spans="3:39">
      <c r="C629" s="251"/>
      <c r="D629" s="251"/>
      <c r="E629" s="261"/>
      <c r="F629" s="261"/>
      <c r="G629" s="262"/>
      <c r="H629" s="264" t="s">
        <v>110</v>
      </c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</row>
    <row r="630" ht="20.25" hidden="1" customHeight="1" spans="3:39">
      <c r="C630" s="251"/>
      <c r="D630" s="251"/>
      <c r="E630" s="261"/>
      <c r="F630" s="261"/>
      <c r="G630" s="262"/>
      <c r="H630" s="264" t="s">
        <v>111</v>
      </c>
      <c r="I630" s="90" t="e">
        <f t="shared" ref="I630:AM630" si="237">I628/I626</f>
        <v>#REF!</v>
      </c>
      <c r="J630" s="90" t="e">
        <f t="shared" si="237"/>
        <v>#REF!</v>
      </c>
      <c r="K630" s="90" t="e">
        <f t="shared" si="237"/>
        <v>#REF!</v>
      </c>
      <c r="L630" s="90" t="e">
        <f t="shared" si="237"/>
        <v>#REF!</v>
      </c>
      <c r="M630" s="90" t="e">
        <f t="shared" si="237"/>
        <v>#REF!</v>
      </c>
      <c r="N630" s="90" t="e">
        <f t="shared" si="237"/>
        <v>#REF!</v>
      </c>
      <c r="O630" s="90" t="e">
        <f t="shared" si="237"/>
        <v>#REF!</v>
      </c>
      <c r="P630" s="90" t="e">
        <f t="shared" si="237"/>
        <v>#REF!</v>
      </c>
      <c r="Q630" s="90" t="e">
        <f t="shared" si="237"/>
        <v>#REF!</v>
      </c>
      <c r="R630" s="90" t="e">
        <f t="shared" si="237"/>
        <v>#REF!</v>
      </c>
      <c r="S630" s="90" t="e">
        <f t="shared" si="237"/>
        <v>#REF!</v>
      </c>
      <c r="T630" s="90" t="e">
        <f t="shared" si="237"/>
        <v>#REF!</v>
      </c>
      <c r="U630" s="90" t="e">
        <f t="shared" si="237"/>
        <v>#REF!</v>
      </c>
      <c r="V630" s="90" t="e">
        <f t="shared" si="237"/>
        <v>#REF!</v>
      </c>
      <c r="W630" s="90" t="e">
        <f t="shared" si="237"/>
        <v>#REF!</v>
      </c>
      <c r="X630" s="90" t="e">
        <f t="shared" si="237"/>
        <v>#REF!</v>
      </c>
      <c r="Y630" s="90" t="e">
        <f t="shared" si="237"/>
        <v>#REF!</v>
      </c>
      <c r="Z630" s="90" t="e">
        <f t="shared" si="237"/>
        <v>#REF!</v>
      </c>
      <c r="AA630" s="90" t="e">
        <f t="shared" si="237"/>
        <v>#REF!</v>
      </c>
      <c r="AB630" s="90" t="e">
        <f t="shared" si="237"/>
        <v>#REF!</v>
      </c>
      <c r="AC630" s="90" t="e">
        <f t="shared" si="237"/>
        <v>#REF!</v>
      </c>
      <c r="AD630" s="90" t="e">
        <f t="shared" si="237"/>
        <v>#REF!</v>
      </c>
      <c r="AE630" s="90" t="e">
        <f t="shared" si="237"/>
        <v>#REF!</v>
      </c>
      <c r="AF630" s="90" t="e">
        <f t="shared" si="237"/>
        <v>#REF!</v>
      </c>
      <c r="AG630" s="90" t="e">
        <f t="shared" si="237"/>
        <v>#REF!</v>
      </c>
      <c r="AH630" s="90" t="e">
        <f t="shared" si="237"/>
        <v>#REF!</v>
      </c>
      <c r="AI630" s="90" t="e">
        <f t="shared" si="237"/>
        <v>#REF!</v>
      </c>
      <c r="AJ630" s="90" t="e">
        <f t="shared" si="237"/>
        <v>#REF!</v>
      </c>
      <c r="AK630" s="90" t="e">
        <f t="shared" si="237"/>
        <v>#REF!</v>
      </c>
      <c r="AL630" s="90" t="e">
        <f t="shared" si="237"/>
        <v>#REF!</v>
      </c>
      <c r="AM630" s="90" t="e">
        <f t="shared" si="237"/>
        <v>#REF!</v>
      </c>
    </row>
    <row r="631" ht="20.25" hidden="1" customHeight="1" spans="3:39">
      <c r="C631" s="251"/>
      <c r="D631" s="257" t="s">
        <v>90</v>
      </c>
      <c r="E631" s="258">
        <f>I656/$I$686</f>
        <v>0.0340854678355274</v>
      </c>
      <c r="F631" s="258" t="e">
        <f>I658/$I$688</f>
        <v>#REF!</v>
      </c>
      <c r="G631" s="259" t="s">
        <v>115</v>
      </c>
      <c r="H631" s="264" t="s">
        <v>107</v>
      </c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</row>
    <row r="632" ht="20.25" hidden="1" customHeight="1" spans="3:39">
      <c r="C632" s="251"/>
      <c r="D632" s="251"/>
      <c r="E632" s="261"/>
      <c r="F632" s="261"/>
      <c r="G632" s="262"/>
      <c r="H632" s="264" t="s">
        <v>108</v>
      </c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</row>
    <row r="633" ht="20.25" hidden="1" customHeight="1" spans="3:39">
      <c r="C633" s="251"/>
      <c r="D633" s="251"/>
      <c r="E633" s="261"/>
      <c r="F633" s="261"/>
      <c r="G633" s="262"/>
      <c r="H633" s="264" t="s">
        <v>109</v>
      </c>
      <c r="I633" s="88" t="e">
        <f>SUM(J633:AM633)</f>
        <v>#REF!</v>
      </c>
      <c r="J633" s="88" t="e">
        <f>SUMIFS(#REF!,#REF!,$D$631,#REF!,$G631,#REF!,J$480)</f>
        <v>#REF!</v>
      </c>
      <c r="K633" s="88" t="e">
        <f>SUMIFS(#REF!,#REF!,$D$631,#REF!,$G631,#REF!,K$480)</f>
        <v>#REF!</v>
      </c>
      <c r="L633" s="88" t="e">
        <f>SUMIFS(#REF!,#REF!,$D$631,#REF!,$G631,#REF!,L$480)</f>
        <v>#REF!</v>
      </c>
      <c r="M633" s="88" t="e">
        <f>SUMIFS(#REF!,#REF!,$D$631,#REF!,$G631,#REF!,M$480)</f>
        <v>#REF!</v>
      </c>
      <c r="N633" s="88" t="e">
        <f>SUMIFS(#REF!,#REF!,$D$631,#REF!,$G631,#REF!,N$480)</f>
        <v>#REF!</v>
      </c>
      <c r="O633" s="88" t="e">
        <f>SUMIFS(#REF!,#REF!,$D$631,#REF!,$G631,#REF!,O$480)</f>
        <v>#REF!</v>
      </c>
      <c r="P633" s="88" t="e">
        <f>SUMIFS(#REF!,#REF!,$D$631,#REF!,$G631,#REF!,P$480)</f>
        <v>#REF!</v>
      </c>
      <c r="Q633" s="88" t="e">
        <f>SUMIFS(#REF!,#REF!,$D$631,#REF!,$G631,#REF!,Q$480)</f>
        <v>#REF!</v>
      </c>
      <c r="R633" s="88" t="e">
        <f>SUMIFS(#REF!,#REF!,$D$631,#REF!,$G631,#REF!,R$480)</f>
        <v>#REF!</v>
      </c>
      <c r="S633" s="88" t="e">
        <f>SUMIFS(#REF!,#REF!,$D$631,#REF!,$G631,#REF!,S$480)</f>
        <v>#REF!</v>
      </c>
      <c r="T633" s="88" t="e">
        <f>SUMIFS(#REF!,#REF!,$D$631,#REF!,$G631,#REF!,T$480)</f>
        <v>#REF!</v>
      </c>
      <c r="U633" s="88" t="e">
        <f>SUMIFS(#REF!,#REF!,$D$631,#REF!,$G631,#REF!,U$480)</f>
        <v>#REF!</v>
      </c>
      <c r="V633" s="88" t="e">
        <f>SUMIFS(#REF!,#REF!,$D$631,#REF!,$G631,#REF!,V$480)</f>
        <v>#REF!</v>
      </c>
      <c r="W633" s="88" t="e">
        <f>SUMIFS(#REF!,#REF!,$D$631,#REF!,$G631,#REF!,W$480)</f>
        <v>#REF!</v>
      </c>
      <c r="X633" s="88" t="e">
        <f>SUMIFS(#REF!,#REF!,$D$631,#REF!,$G631,#REF!,X$480)</f>
        <v>#REF!</v>
      </c>
      <c r="Y633" s="88" t="e">
        <f>SUMIFS(#REF!,#REF!,$D$631,#REF!,$G631,#REF!,Y$480)</f>
        <v>#REF!</v>
      </c>
      <c r="Z633" s="88" t="e">
        <f>SUMIFS(#REF!,#REF!,$D$631,#REF!,$G631,#REF!,Z$480)</f>
        <v>#REF!</v>
      </c>
      <c r="AA633" s="88" t="e">
        <f>SUMIFS(#REF!,#REF!,$D$631,#REF!,$G631,#REF!,AA$480)</f>
        <v>#REF!</v>
      </c>
      <c r="AB633" s="88" t="e">
        <f>SUMIFS(#REF!,#REF!,$D$631,#REF!,$G631,#REF!,AB$480)</f>
        <v>#REF!</v>
      </c>
      <c r="AC633" s="88" t="e">
        <f>SUMIFS(#REF!,#REF!,$D$631,#REF!,$G631,#REF!,AC$480)</f>
        <v>#REF!</v>
      </c>
      <c r="AD633" s="88" t="e">
        <f>SUMIFS(#REF!,#REF!,$D$631,#REF!,$G631,#REF!,AD$480)</f>
        <v>#REF!</v>
      </c>
      <c r="AE633" s="88" t="e">
        <f>SUMIFS(#REF!,#REF!,$D$631,#REF!,$G631,#REF!,AE$480)</f>
        <v>#REF!</v>
      </c>
      <c r="AF633" s="88" t="e">
        <f>SUMIFS(#REF!,#REF!,$D$631,#REF!,$G631,#REF!,AF$480)</f>
        <v>#REF!</v>
      </c>
      <c r="AG633" s="88" t="e">
        <f>SUMIFS(#REF!,#REF!,$D$631,#REF!,$G631,#REF!,AG$480)</f>
        <v>#REF!</v>
      </c>
      <c r="AH633" s="88" t="e">
        <f>SUMIFS(#REF!,#REF!,$D$631,#REF!,$G631,#REF!,AH$480)</f>
        <v>#REF!</v>
      </c>
      <c r="AI633" s="88" t="e">
        <f>SUMIFS(#REF!,#REF!,$D$631,#REF!,$G631,#REF!,AI$480)</f>
        <v>#REF!</v>
      </c>
      <c r="AJ633" s="88" t="e">
        <f>SUMIFS(#REF!,#REF!,$D$631,#REF!,$G631,#REF!,AJ$480)</f>
        <v>#REF!</v>
      </c>
      <c r="AK633" s="88" t="e">
        <f>SUMIFS(#REF!,#REF!,$D$631,#REF!,$G631,#REF!,AK$480)</f>
        <v>#REF!</v>
      </c>
      <c r="AL633" s="88" t="e">
        <f>SUMIFS(#REF!,#REF!,$D$631,#REF!,$G631,#REF!,AL$480)</f>
        <v>#REF!</v>
      </c>
      <c r="AM633" s="88" t="e">
        <f>SUMIFS(#REF!,#REF!,$D$631,#REF!,$G631,#REF!,AM$480)</f>
        <v>#REF!</v>
      </c>
    </row>
    <row r="634" ht="20.25" hidden="1" customHeight="1" spans="3:39">
      <c r="C634" s="251"/>
      <c r="D634" s="251"/>
      <c r="E634" s="261"/>
      <c r="F634" s="261"/>
      <c r="G634" s="262"/>
      <c r="H634" s="264" t="s">
        <v>110</v>
      </c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</row>
    <row r="635" ht="20.25" hidden="1" customHeight="1" spans="3:39">
      <c r="C635" s="251"/>
      <c r="D635" s="251"/>
      <c r="E635" s="261"/>
      <c r="F635" s="261"/>
      <c r="G635" s="262"/>
      <c r="H635" s="264" t="s">
        <v>111</v>
      </c>
      <c r="I635" s="90" t="e">
        <f t="shared" ref="I635:AM635" si="238">I633/I631</f>
        <v>#REF!</v>
      </c>
      <c r="J635" s="90" t="e">
        <f t="shared" si="238"/>
        <v>#REF!</v>
      </c>
      <c r="K635" s="90" t="e">
        <f t="shared" si="238"/>
        <v>#REF!</v>
      </c>
      <c r="L635" s="90" t="e">
        <f t="shared" si="238"/>
        <v>#REF!</v>
      </c>
      <c r="M635" s="90" t="e">
        <f t="shared" si="238"/>
        <v>#REF!</v>
      </c>
      <c r="N635" s="90" t="e">
        <f t="shared" si="238"/>
        <v>#REF!</v>
      </c>
      <c r="O635" s="90" t="e">
        <f t="shared" si="238"/>
        <v>#REF!</v>
      </c>
      <c r="P635" s="90" t="e">
        <f t="shared" si="238"/>
        <v>#REF!</v>
      </c>
      <c r="Q635" s="90" t="e">
        <f t="shared" si="238"/>
        <v>#REF!</v>
      </c>
      <c r="R635" s="90" t="e">
        <f t="shared" si="238"/>
        <v>#REF!</v>
      </c>
      <c r="S635" s="90" t="e">
        <f t="shared" si="238"/>
        <v>#REF!</v>
      </c>
      <c r="T635" s="90" t="e">
        <f t="shared" si="238"/>
        <v>#REF!</v>
      </c>
      <c r="U635" s="90" t="e">
        <f t="shared" si="238"/>
        <v>#REF!</v>
      </c>
      <c r="V635" s="90" t="e">
        <f t="shared" si="238"/>
        <v>#REF!</v>
      </c>
      <c r="W635" s="90" t="e">
        <f t="shared" si="238"/>
        <v>#REF!</v>
      </c>
      <c r="X635" s="90" t="e">
        <f t="shared" si="238"/>
        <v>#REF!</v>
      </c>
      <c r="Y635" s="90" t="e">
        <f t="shared" si="238"/>
        <v>#REF!</v>
      </c>
      <c r="Z635" s="90" t="e">
        <f t="shared" si="238"/>
        <v>#REF!</v>
      </c>
      <c r="AA635" s="90" t="e">
        <f t="shared" si="238"/>
        <v>#REF!</v>
      </c>
      <c r="AB635" s="90" t="e">
        <f t="shared" si="238"/>
        <v>#REF!</v>
      </c>
      <c r="AC635" s="90" t="e">
        <f t="shared" si="238"/>
        <v>#REF!</v>
      </c>
      <c r="AD635" s="90" t="e">
        <f t="shared" si="238"/>
        <v>#REF!</v>
      </c>
      <c r="AE635" s="90" t="e">
        <f t="shared" si="238"/>
        <v>#REF!</v>
      </c>
      <c r="AF635" s="90" t="e">
        <f t="shared" si="238"/>
        <v>#REF!</v>
      </c>
      <c r="AG635" s="90" t="e">
        <f t="shared" si="238"/>
        <v>#REF!</v>
      </c>
      <c r="AH635" s="90" t="e">
        <f t="shared" si="238"/>
        <v>#REF!</v>
      </c>
      <c r="AI635" s="90" t="e">
        <f t="shared" si="238"/>
        <v>#REF!</v>
      </c>
      <c r="AJ635" s="90" t="e">
        <f t="shared" si="238"/>
        <v>#REF!</v>
      </c>
      <c r="AK635" s="90" t="e">
        <f t="shared" si="238"/>
        <v>#REF!</v>
      </c>
      <c r="AL635" s="90" t="e">
        <f t="shared" si="238"/>
        <v>#REF!</v>
      </c>
      <c r="AM635" s="90" t="e">
        <f t="shared" si="238"/>
        <v>#REF!</v>
      </c>
    </row>
    <row r="636" ht="20.25" hidden="1" customHeight="1" spans="3:39">
      <c r="C636" s="251"/>
      <c r="D636" s="251"/>
      <c r="E636" s="261"/>
      <c r="F636" s="261"/>
      <c r="G636" s="259" t="s">
        <v>116</v>
      </c>
      <c r="H636" s="264" t="s">
        <v>107</v>
      </c>
      <c r="I636" s="88">
        <v>9012</v>
      </c>
      <c r="J636" s="88">
        <v>361</v>
      </c>
      <c r="K636" s="88">
        <v>346</v>
      </c>
      <c r="L636" s="88">
        <v>346</v>
      </c>
      <c r="M636" s="88">
        <v>271</v>
      </c>
      <c r="N636" s="88">
        <v>250</v>
      </c>
      <c r="O636" s="88">
        <v>226</v>
      </c>
      <c r="P636" s="88">
        <v>244</v>
      </c>
      <c r="Q636" s="88">
        <v>243</v>
      </c>
      <c r="R636" s="88">
        <v>251</v>
      </c>
      <c r="S636" s="88">
        <v>258</v>
      </c>
      <c r="T636" s="88">
        <v>258</v>
      </c>
      <c r="U636" s="88">
        <v>250</v>
      </c>
      <c r="V636" s="88">
        <v>257</v>
      </c>
      <c r="W636" s="88">
        <v>329</v>
      </c>
      <c r="X636" s="88">
        <v>335</v>
      </c>
      <c r="Y636" s="88">
        <v>415</v>
      </c>
      <c r="Z636" s="88">
        <v>518</v>
      </c>
      <c r="AA636" s="88">
        <v>1080</v>
      </c>
      <c r="AB636" s="88">
        <v>420</v>
      </c>
      <c r="AC636" s="88">
        <v>345</v>
      </c>
      <c r="AD636" s="88">
        <v>196</v>
      </c>
      <c r="AE636" s="88">
        <v>196</v>
      </c>
      <c r="AF636" s="88">
        <v>197</v>
      </c>
      <c r="AG636" s="88">
        <v>205</v>
      </c>
      <c r="AH636" s="88">
        <v>197</v>
      </c>
      <c r="AI636" s="88">
        <v>213</v>
      </c>
      <c r="AJ636" s="88">
        <v>182</v>
      </c>
      <c r="AK636" s="88">
        <v>208</v>
      </c>
      <c r="AL636" s="88">
        <v>206</v>
      </c>
      <c r="AM636" s="88">
        <v>206</v>
      </c>
    </row>
    <row r="637" ht="20.25" hidden="1" customHeight="1" spans="3:39">
      <c r="C637" s="251"/>
      <c r="D637" s="251"/>
      <c r="E637" s="261"/>
      <c r="F637" s="261"/>
      <c r="G637" s="262"/>
      <c r="H637" s="264" t="s">
        <v>108</v>
      </c>
      <c r="I637" s="90">
        <v>0.6</v>
      </c>
      <c r="J637" s="90">
        <v>0.6</v>
      </c>
      <c r="K637" s="90">
        <v>0.6</v>
      </c>
      <c r="L637" s="90">
        <v>0.6</v>
      </c>
      <c r="M637" s="90">
        <v>0.6</v>
      </c>
      <c r="N637" s="90">
        <v>0.6</v>
      </c>
      <c r="O637" s="90">
        <v>0.6</v>
      </c>
      <c r="P637" s="90">
        <v>0.6</v>
      </c>
      <c r="Q637" s="90">
        <v>0.6</v>
      </c>
      <c r="R637" s="90">
        <v>0.6</v>
      </c>
      <c r="S637" s="90">
        <v>0.6</v>
      </c>
      <c r="T637" s="90">
        <v>0.6</v>
      </c>
      <c r="U637" s="90">
        <v>0.6</v>
      </c>
      <c r="V637" s="90">
        <v>0.6</v>
      </c>
      <c r="W637" s="90">
        <v>0.6</v>
      </c>
      <c r="X637" s="90">
        <v>0.6</v>
      </c>
      <c r="Y637" s="90">
        <v>0.6</v>
      </c>
      <c r="Z637" s="90">
        <v>0.6</v>
      </c>
      <c r="AA637" s="90">
        <v>0.6</v>
      </c>
      <c r="AB637" s="90">
        <v>0.6</v>
      </c>
      <c r="AC637" s="90">
        <v>0.6</v>
      </c>
      <c r="AD637" s="90">
        <v>0.6</v>
      </c>
      <c r="AE637" s="90">
        <v>0.6</v>
      </c>
      <c r="AF637" s="90">
        <v>0.6</v>
      </c>
      <c r="AG637" s="90">
        <v>0.6</v>
      </c>
      <c r="AH637" s="90">
        <v>0.6</v>
      </c>
      <c r="AI637" s="90">
        <v>0.6</v>
      </c>
      <c r="AJ637" s="90">
        <v>0.6</v>
      </c>
      <c r="AK637" s="90">
        <v>0.6</v>
      </c>
      <c r="AL637" s="90">
        <v>0.6</v>
      </c>
      <c r="AM637" s="90">
        <v>0.6</v>
      </c>
    </row>
    <row r="638" ht="20.25" hidden="1" customHeight="1" spans="3:39">
      <c r="C638" s="251"/>
      <c r="D638" s="251"/>
      <c r="E638" s="261"/>
      <c r="F638" s="261"/>
      <c r="G638" s="262"/>
      <c r="H638" s="264" t="s">
        <v>109</v>
      </c>
      <c r="I638" s="88" t="e">
        <f>SUM(J638:AM638)</f>
        <v>#REF!</v>
      </c>
      <c r="J638" s="88" t="e">
        <f>SUMIFS(#REF!,#REF!,$D$631,#REF!,$G636,#REF!,J$480)</f>
        <v>#REF!</v>
      </c>
      <c r="K638" s="88" t="e">
        <f>SUMIFS(#REF!,#REF!,$D$631,#REF!,$G636,#REF!,K$480)</f>
        <v>#REF!</v>
      </c>
      <c r="L638" s="88" t="e">
        <f>SUMIFS(#REF!,#REF!,$D$631,#REF!,$G636,#REF!,L$480)</f>
        <v>#REF!</v>
      </c>
      <c r="M638" s="88" t="e">
        <f>SUMIFS(#REF!,#REF!,$D$631,#REF!,$G636,#REF!,M$480)</f>
        <v>#REF!</v>
      </c>
      <c r="N638" s="88" t="e">
        <f>SUMIFS(#REF!,#REF!,$D$631,#REF!,$G636,#REF!,N$480)</f>
        <v>#REF!</v>
      </c>
      <c r="O638" s="88" t="e">
        <f>SUMIFS(#REF!,#REF!,$D$631,#REF!,$G636,#REF!,O$480)</f>
        <v>#REF!</v>
      </c>
      <c r="P638" s="88" t="e">
        <f>SUMIFS(#REF!,#REF!,$D$631,#REF!,$G636,#REF!,P$480)</f>
        <v>#REF!</v>
      </c>
      <c r="Q638" s="88" t="e">
        <f>SUMIFS(#REF!,#REF!,$D$631,#REF!,$G636,#REF!,Q$480)</f>
        <v>#REF!</v>
      </c>
      <c r="R638" s="88" t="e">
        <f>SUMIFS(#REF!,#REF!,$D$631,#REF!,$G636,#REF!,R$480)</f>
        <v>#REF!</v>
      </c>
      <c r="S638" s="88" t="e">
        <f>SUMIFS(#REF!,#REF!,$D$631,#REF!,$G636,#REF!,S$480)</f>
        <v>#REF!</v>
      </c>
      <c r="T638" s="88" t="e">
        <f>SUMIFS(#REF!,#REF!,$D$631,#REF!,$G636,#REF!,T$480)</f>
        <v>#REF!</v>
      </c>
      <c r="U638" s="88" t="e">
        <f>SUMIFS(#REF!,#REF!,$D$631,#REF!,$G636,#REF!,U$480)</f>
        <v>#REF!</v>
      </c>
      <c r="V638" s="88" t="e">
        <f>SUMIFS(#REF!,#REF!,$D$631,#REF!,$G636,#REF!,V$480)</f>
        <v>#REF!</v>
      </c>
      <c r="W638" s="88" t="e">
        <f>SUMIFS(#REF!,#REF!,$D$631,#REF!,$G636,#REF!,W$480)</f>
        <v>#REF!</v>
      </c>
      <c r="X638" s="88" t="e">
        <f>SUMIFS(#REF!,#REF!,$D$631,#REF!,$G636,#REF!,X$480)</f>
        <v>#REF!</v>
      </c>
      <c r="Y638" s="88" t="e">
        <f>SUMIFS(#REF!,#REF!,$D$631,#REF!,$G636,#REF!,Y$480)</f>
        <v>#REF!</v>
      </c>
      <c r="Z638" s="88" t="e">
        <f>SUMIFS(#REF!,#REF!,$D$631,#REF!,$G636,#REF!,Z$480)</f>
        <v>#REF!</v>
      </c>
      <c r="AA638" s="88" t="e">
        <f>SUMIFS(#REF!,#REF!,$D$631,#REF!,$G636,#REF!,AA$480)</f>
        <v>#REF!</v>
      </c>
      <c r="AB638" s="88" t="e">
        <f>SUMIFS(#REF!,#REF!,$D$631,#REF!,$G636,#REF!,AB$480)</f>
        <v>#REF!</v>
      </c>
      <c r="AC638" s="88" t="e">
        <f>SUMIFS(#REF!,#REF!,$D$631,#REF!,$G636,#REF!,AC$480)</f>
        <v>#REF!</v>
      </c>
      <c r="AD638" s="88" t="e">
        <f>SUMIFS(#REF!,#REF!,$D$631,#REF!,$G636,#REF!,AD$480)</f>
        <v>#REF!</v>
      </c>
      <c r="AE638" s="88" t="e">
        <f>SUMIFS(#REF!,#REF!,$D$631,#REF!,$G636,#REF!,AE$480)</f>
        <v>#REF!</v>
      </c>
      <c r="AF638" s="88" t="e">
        <f>SUMIFS(#REF!,#REF!,$D$631,#REF!,$G636,#REF!,AF$480)</f>
        <v>#REF!</v>
      </c>
      <c r="AG638" s="88" t="e">
        <f>SUMIFS(#REF!,#REF!,$D$631,#REF!,$G636,#REF!,AG$480)</f>
        <v>#REF!</v>
      </c>
      <c r="AH638" s="88" t="e">
        <f>SUMIFS(#REF!,#REF!,$D$631,#REF!,$G636,#REF!,AH$480)</f>
        <v>#REF!</v>
      </c>
      <c r="AI638" s="88" t="e">
        <f>SUMIFS(#REF!,#REF!,$D$631,#REF!,$G636,#REF!,AI$480)</f>
        <v>#REF!</v>
      </c>
      <c r="AJ638" s="88" t="e">
        <f>SUMIFS(#REF!,#REF!,$D$631,#REF!,$G636,#REF!,AJ$480)</f>
        <v>#REF!</v>
      </c>
      <c r="AK638" s="88" t="e">
        <f>SUMIFS(#REF!,#REF!,$D$631,#REF!,$G636,#REF!,AK$480)</f>
        <v>#REF!</v>
      </c>
      <c r="AL638" s="88" t="e">
        <f>SUMIFS(#REF!,#REF!,$D$631,#REF!,$G636,#REF!,AL$480)</f>
        <v>#REF!</v>
      </c>
      <c r="AM638" s="88" t="e">
        <f>SUMIFS(#REF!,#REF!,$D$631,#REF!,$G636,#REF!,AM$480)</f>
        <v>#REF!</v>
      </c>
    </row>
    <row r="639" ht="20.25" hidden="1" customHeight="1" spans="3:39">
      <c r="C639" s="251"/>
      <c r="D639" s="251"/>
      <c r="E639" s="261"/>
      <c r="F639" s="261"/>
      <c r="G639" s="262"/>
      <c r="H639" s="264" t="s">
        <v>110</v>
      </c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</row>
    <row r="640" ht="20.25" hidden="1" customHeight="1" spans="3:39">
      <c r="C640" s="251"/>
      <c r="D640" s="251"/>
      <c r="E640" s="261"/>
      <c r="F640" s="261"/>
      <c r="G640" s="262"/>
      <c r="H640" s="264" t="s">
        <v>111</v>
      </c>
      <c r="I640" s="90" t="e">
        <f t="shared" ref="I640:AM640" si="239">I638/I636</f>
        <v>#REF!</v>
      </c>
      <c r="J640" s="90" t="e">
        <f t="shared" si="239"/>
        <v>#REF!</v>
      </c>
      <c r="K640" s="90" t="e">
        <f t="shared" si="239"/>
        <v>#REF!</v>
      </c>
      <c r="L640" s="90" t="e">
        <f t="shared" si="239"/>
        <v>#REF!</v>
      </c>
      <c r="M640" s="90" t="e">
        <f t="shared" si="239"/>
        <v>#REF!</v>
      </c>
      <c r="N640" s="90" t="e">
        <f t="shared" si="239"/>
        <v>#REF!</v>
      </c>
      <c r="O640" s="90" t="e">
        <f t="shared" si="239"/>
        <v>#REF!</v>
      </c>
      <c r="P640" s="90" t="e">
        <f t="shared" si="239"/>
        <v>#REF!</v>
      </c>
      <c r="Q640" s="90" t="e">
        <f t="shared" si="239"/>
        <v>#REF!</v>
      </c>
      <c r="R640" s="90" t="e">
        <f t="shared" si="239"/>
        <v>#REF!</v>
      </c>
      <c r="S640" s="90" t="e">
        <f t="shared" si="239"/>
        <v>#REF!</v>
      </c>
      <c r="T640" s="90" t="e">
        <f t="shared" si="239"/>
        <v>#REF!</v>
      </c>
      <c r="U640" s="90" t="e">
        <f t="shared" si="239"/>
        <v>#REF!</v>
      </c>
      <c r="V640" s="90" t="e">
        <f t="shared" si="239"/>
        <v>#REF!</v>
      </c>
      <c r="W640" s="90" t="e">
        <f t="shared" si="239"/>
        <v>#REF!</v>
      </c>
      <c r="X640" s="90" t="e">
        <f t="shared" si="239"/>
        <v>#REF!</v>
      </c>
      <c r="Y640" s="90" t="e">
        <f t="shared" si="239"/>
        <v>#REF!</v>
      </c>
      <c r="Z640" s="90" t="e">
        <f t="shared" si="239"/>
        <v>#REF!</v>
      </c>
      <c r="AA640" s="90" t="e">
        <f t="shared" si="239"/>
        <v>#REF!</v>
      </c>
      <c r="AB640" s="90" t="e">
        <f t="shared" si="239"/>
        <v>#REF!</v>
      </c>
      <c r="AC640" s="90" t="e">
        <f t="shared" si="239"/>
        <v>#REF!</v>
      </c>
      <c r="AD640" s="90" t="e">
        <f t="shared" si="239"/>
        <v>#REF!</v>
      </c>
      <c r="AE640" s="90" t="e">
        <f t="shared" si="239"/>
        <v>#REF!</v>
      </c>
      <c r="AF640" s="90" t="e">
        <f t="shared" si="239"/>
        <v>#REF!</v>
      </c>
      <c r="AG640" s="90" t="e">
        <f t="shared" si="239"/>
        <v>#REF!</v>
      </c>
      <c r="AH640" s="90" t="e">
        <f t="shared" si="239"/>
        <v>#REF!</v>
      </c>
      <c r="AI640" s="90" t="e">
        <f t="shared" si="239"/>
        <v>#REF!</v>
      </c>
      <c r="AJ640" s="90" t="e">
        <f t="shared" si="239"/>
        <v>#REF!</v>
      </c>
      <c r="AK640" s="90" t="e">
        <f t="shared" si="239"/>
        <v>#REF!</v>
      </c>
      <c r="AL640" s="90" t="e">
        <f t="shared" si="239"/>
        <v>#REF!</v>
      </c>
      <c r="AM640" s="90" t="e">
        <f t="shared" si="239"/>
        <v>#REF!</v>
      </c>
    </row>
    <row r="641" ht="20.25" hidden="1" customHeight="1" spans="3:39">
      <c r="C641" s="251"/>
      <c r="D641" s="251"/>
      <c r="E641" s="261"/>
      <c r="F641" s="261"/>
      <c r="G641" s="259" t="s">
        <v>117</v>
      </c>
      <c r="H641" s="264" t="s">
        <v>107</v>
      </c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</row>
    <row r="642" ht="20.25" hidden="1" customHeight="1" spans="3:39">
      <c r="C642" s="251"/>
      <c r="D642" s="251"/>
      <c r="E642" s="261"/>
      <c r="F642" s="261"/>
      <c r="G642" s="262"/>
      <c r="H642" s="264" t="s">
        <v>108</v>
      </c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</row>
    <row r="643" ht="20.25" hidden="1" customHeight="1" spans="3:39">
      <c r="C643" s="251"/>
      <c r="D643" s="251"/>
      <c r="E643" s="261"/>
      <c r="F643" s="261"/>
      <c r="G643" s="262"/>
      <c r="H643" s="264" t="s">
        <v>109</v>
      </c>
      <c r="I643" s="88" t="e">
        <f>SUM(J643:AM643)</f>
        <v>#REF!</v>
      </c>
      <c r="J643" s="88" t="e">
        <f>SUMIFS(#REF!,#REF!,$D$631,#REF!,$G641,#REF!,J$480)</f>
        <v>#REF!</v>
      </c>
      <c r="K643" s="88" t="e">
        <f>SUMIFS(#REF!,#REF!,$D$631,#REF!,$G641,#REF!,K$480)</f>
        <v>#REF!</v>
      </c>
      <c r="L643" s="88" t="e">
        <f>SUMIFS(#REF!,#REF!,$D$631,#REF!,$G641,#REF!,L$480)</f>
        <v>#REF!</v>
      </c>
      <c r="M643" s="88" t="e">
        <f>SUMIFS(#REF!,#REF!,$D$631,#REF!,$G641,#REF!,M$480)</f>
        <v>#REF!</v>
      </c>
      <c r="N643" s="88" t="e">
        <f>SUMIFS(#REF!,#REF!,$D$631,#REF!,$G641,#REF!,N$480)</f>
        <v>#REF!</v>
      </c>
      <c r="O643" s="88" t="e">
        <f>SUMIFS(#REF!,#REF!,$D$631,#REF!,$G641,#REF!,O$480)</f>
        <v>#REF!</v>
      </c>
      <c r="P643" s="88" t="e">
        <f>SUMIFS(#REF!,#REF!,$D$631,#REF!,$G641,#REF!,P$480)</f>
        <v>#REF!</v>
      </c>
      <c r="Q643" s="88" t="e">
        <f>SUMIFS(#REF!,#REF!,$D$631,#REF!,$G641,#REF!,Q$480)</f>
        <v>#REF!</v>
      </c>
      <c r="R643" s="88" t="e">
        <f>SUMIFS(#REF!,#REF!,$D$631,#REF!,$G641,#REF!,R$480)</f>
        <v>#REF!</v>
      </c>
      <c r="S643" s="88" t="e">
        <f>SUMIFS(#REF!,#REF!,$D$631,#REF!,$G641,#REF!,S$480)</f>
        <v>#REF!</v>
      </c>
      <c r="T643" s="88" t="e">
        <f>SUMIFS(#REF!,#REF!,$D$631,#REF!,$G641,#REF!,T$480)</f>
        <v>#REF!</v>
      </c>
      <c r="U643" s="88" t="e">
        <f>SUMIFS(#REF!,#REF!,$D$631,#REF!,$G641,#REF!,U$480)</f>
        <v>#REF!</v>
      </c>
      <c r="V643" s="88" t="e">
        <f>SUMIFS(#REF!,#REF!,$D$631,#REF!,$G641,#REF!,V$480)</f>
        <v>#REF!</v>
      </c>
      <c r="W643" s="88" t="e">
        <f>SUMIFS(#REF!,#REF!,$D$631,#REF!,$G641,#REF!,W$480)</f>
        <v>#REF!</v>
      </c>
      <c r="X643" s="88" t="e">
        <f>SUMIFS(#REF!,#REF!,$D$631,#REF!,$G641,#REF!,X$480)</f>
        <v>#REF!</v>
      </c>
      <c r="Y643" s="88" t="e">
        <f>SUMIFS(#REF!,#REF!,$D$631,#REF!,$G641,#REF!,Y$480)</f>
        <v>#REF!</v>
      </c>
      <c r="Z643" s="88" t="e">
        <f>SUMIFS(#REF!,#REF!,$D$631,#REF!,$G641,#REF!,Z$480)</f>
        <v>#REF!</v>
      </c>
      <c r="AA643" s="88" t="e">
        <f>SUMIFS(#REF!,#REF!,$D$631,#REF!,$G641,#REF!,AA$480)</f>
        <v>#REF!</v>
      </c>
      <c r="AB643" s="88" t="e">
        <f>SUMIFS(#REF!,#REF!,$D$631,#REF!,$G641,#REF!,AB$480)</f>
        <v>#REF!</v>
      </c>
      <c r="AC643" s="88" t="e">
        <f>SUMIFS(#REF!,#REF!,$D$631,#REF!,$G641,#REF!,AC$480)</f>
        <v>#REF!</v>
      </c>
      <c r="AD643" s="88" t="e">
        <f>SUMIFS(#REF!,#REF!,$D$631,#REF!,$G641,#REF!,AD$480)</f>
        <v>#REF!</v>
      </c>
      <c r="AE643" s="88" t="e">
        <f>SUMIFS(#REF!,#REF!,$D$631,#REF!,$G641,#REF!,AE$480)</f>
        <v>#REF!</v>
      </c>
      <c r="AF643" s="88" t="e">
        <f>SUMIFS(#REF!,#REF!,$D$631,#REF!,$G641,#REF!,AF$480)</f>
        <v>#REF!</v>
      </c>
      <c r="AG643" s="88" t="e">
        <f>SUMIFS(#REF!,#REF!,$D$631,#REF!,$G641,#REF!,AG$480)</f>
        <v>#REF!</v>
      </c>
      <c r="AH643" s="88" t="e">
        <f>SUMIFS(#REF!,#REF!,$D$631,#REF!,$G641,#REF!,AH$480)</f>
        <v>#REF!</v>
      </c>
      <c r="AI643" s="88" t="e">
        <f>SUMIFS(#REF!,#REF!,$D$631,#REF!,$G641,#REF!,AI$480)</f>
        <v>#REF!</v>
      </c>
      <c r="AJ643" s="88" t="e">
        <f>SUMIFS(#REF!,#REF!,$D$631,#REF!,$G641,#REF!,AJ$480)</f>
        <v>#REF!</v>
      </c>
      <c r="AK643" s="88" t="e">
        <f>SUMIFS(#REF!,#REF!,$D$631,#REF!,$G641,#REF!,AK$480)</f>
        <v>#REF!</v>
      </c>
      <c r="AL643" s="88" t="e">
        <f>SUMIFS(#REF!,#REF!,$D$631,#REF!,$G641,#REF!,AL$480)</f>
        <v>#REF!</v>
      </c>
      <c r="AM643" s="88" t="e">
        <f>SUMIFS(#REF!,#REF!,$D$631,#REF!,$G641,#REF!,AM$480)</f>
        <v>#REF!</v>
      </c>
    </row>
    <row r="644" ht="20.25" hidden="1" customHeight="1" spans="3:39">
      <c r="C644" s="251"/>
      <c r="D644" s="251"/>
      <c r="E644" s="261"/>
      <c r="F644" s="261"/>
      <c r="G644" s="262"/>
      <c r="H644" s="264" t="s">
        <v>110</v>
      </c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</row>
    <row r="645" ht="20.25" hidden="1" customHeight="1" spans="3:39">
      <c r="C645" s="251"/>
      <c r="D645" s="251"/>
      <c r="E645" s="261"/>
      <c r="F645" s="261"/>
      <c r="G645" s="262"/>
      <c r="H645" s="264" t="s">
        <v>111</v>
      </c>
      <c r="I645" s="90" t="e">
        <f t="shared" ref="I645:AM645" si="240">I643/I641</f>
        <v>#REF!</v>
      </c>
      <c r="J645" s="90" t="e">
        <f t="shared" si="240"/>
        <v>#REF!</v>
      </c>
      <c r="K645" s="90" t="e">
        <f t="shared" si="240"/>
        <v>#REF!</v>
      </c>
      <c r="L645" s="90" t="e">
        <f t="shared" si="240"/>
        <v>#REF!</v>
      </c>
      <c r="M645" s="90" t="e">
        <f t="shared" si="240"/>
        <v>#REF!</v>
      </c>
      <c r="N645" s="90" t="e">
        <f t="shared" si="240"/>
        <v>#REF!</v>
      </c>
      <c r="O645" s="90" t="e">
        <f t="shared" si="240"/>
        <v>#REF!</v>
      </c>
      <c r="P645" s="90" t="e">
        <f t="shared" si="240"/>
        <v>#REF!</v>
      </c>
      <c r="Q645" s="90" t="e">
        <f t="shared" si="240"/>
        <v>#REF!</v>
      </c>
      <c r="R645" s="90" t="e">
        <f t="shared" si="240"/>
        <v>#REF!</v>
      </c>
      <c r="S645" s="90" t="e">
        <f t="shared" si="240"/>
        <v>#REF!</v>
      </c>
      <c r="T645" s="90" t="e">
        <f t="shared" si="240"/>
        <v>#REF!</v>
      </c>
      <c r="U645" s="90" t="e">
        <f t="shared" si="240"/>
        <v>#REF!</v>
      </c>
      <c r="V645" s="90" t="e">
        <f t="shared" si="240"/>
        <v>#REF!</v>
      </c>
      <c r="W645" s="90" t="e">
        <f t="shared" si="240"/>
        <v>#REF!</v>
      </c>
      <c r="X645" s="90" t="e">
        <f t="shared" si="240"/>
        <v>#REF!</v>
      </c>
      <c r="Y645" s="90" t="e">
        <f t="shared" si="240"/>
        <v>#REF!</v>
      </c>
      <c r="Z645" s="90" t="e">
        <f t="shared" si="240"/>
        <v>#REF!</v>
      </c>
      <c r="AA645" s="90" t="e">
        <f t="shared" si="240"/>
        <v>#REF!</v>
      </c>
      <c r="AB645" s="90" t="e">
        <f t="shared" si="240"/>
        <v>#REF!</v>
      </c>
      <c r="AC645" s="90" t="e">
        <f t="shared" si="240"/>
        <v>#REF!</v>
      </c>
      <c r="AD645" s="90" t="e">
        <f t="shared" si="240"/>
        <v>#REF!</v>
      </c>
      <c r="AE645" s="90" t="e">
        <f t="shared" si="240"/>
        <v>#REF!</v>
      </c>
      <c r="AF645" s="90" t="e">
        <f t="shared" si="240"/>
        <v>#REF!</v>
      </c>
      <c r="AG645" s="90" t="e">
        <f t="shared" si="240"/>
        <v>#REF!</v>
      </c>
      <c r="AH645" s="90" t="e">
        <f t="shared" si="240"/>
        <v>#REF!</v>
      </c>
      <c r="AI645" s="90" t="e">
        <f t="shared" si="240"/>
        <v>#REF!</v>
      </c>
      <c r="AJ645" s="90" t="e">
        <f t="shared" si="240"/>
        <v>#REF!</v>
      </c>
      <c r="AK645" s="90" t="e">
        <f t="shared" si="240"/>
        <v>#REF!</v>
      </c>
      <c r="AL645" s="90" t="e">
        <f t="shared" si="240"/>
        <v>#REF!</v>
      </c>
      <c r="AM645" s="90" t="e">
        <f t="shared" si="240"/>
        <v>#REF!</v>
      </c>
    </row>
    <row r="646" ht="20.25" hidden="1" customHeight="1" spans="3:39">
      <c r="C646" s="251"/>
      <c r="D646" s="251"/>
      <c r="E646" s="261"/>
      <c r="F646" s="261"/>
      <c r="G646" s="259" t="s">
        <v>118</v>
      </c>
      <c r="H646" s="264" t="s">
        <v>107</v>
      </c>
      <c r="I646" s="88">
        <v>6008</v>
      </c>
      <c r="J646" s="88">
        <v>240</v>
      </c>
      <c r="K646" s="88">
        <v>231</v>
      </c>
      <c r="L646" s="88">
        <v>231</v>
      </c>
      <c r="M646" s="88">
        <v>180</v>
      </c>
      <c r="N646" s="88">
        <v>167</v>
      </c>
      <c r="O646" s="88">
        <v>151</v>
      </c>
      <c r="P646" s="88">
        <v>163</v>
      </c>
      <c r="Q646" s="88">
        <v>162</v>
      </c>
      <c r="R646" s="88">
        <v>167</v>
      </c>
      <c r="S646" s="88">
        <v>172</v>
      </c>
      <c r="T646" s="88">
        <v>172</v>
      </c>
      <c r="U646" s="88">
        <v>167</v>
      </c>
      <c r="V646" s="88">
        <v>171</v>
      </c>
      <c r="W646" s="88">
        <v>220</v>
      </c>
      <c r="X646" s="88">
        <v>223</v>
      </c>
      <c r="Y646" s="88">
        <v>276</v>
      </c>
      <c r="Z646" s="88">
        <v>346</v>
      </c>
      <c r="AA646" s="88">
        <v>720</v>
      </c>
      <c r="AB646" s="88">
        <v>280</v>
      </c>
      <c r="AC646" s="88">
        <v>230</v>
      </c>
      <c r="AD646" s="88">
        <v>131</v>
      </c>
      <c r="AE646" s="88">
        <v>131</v>
      </c>
      <c r="AF646" s="88">
        <v>132</v>
      </c>
      <c r="AG646" s="88">
        <v>137</v>
      </c>
      <c r="AH646" s="88">
        <v>132</v>
      </c>
      <c r="AI646" s="88">
        <v>142</v>
      </c>
      <c r="AJ646" s="88">
        <v>122</v>
      </c>
      <c r="AK646" s="88">
        <v>139</v>
      </c>
      <c r="AL646" s="88">
        <v>138</v>
      </c>
      <c r="AM646" s="88">
        <v>138</v>
      </c>
    </row>
    <row r="647" ht="20.25" hidden="1" customHeight="1" spans="3:39">
      <c r="C647" s="251"/>
      <c r="D647" s="251"/>
      <c r="E647" s="261"/>
      <c r="F647" s="261"/>
      <c r="G647" s="262"/>
      <c r="H647" s="264" t="s">
        <v>108</v>
      </c>
      <c r="I647" s="90">
        <v>0.4</v>
      </c>
      <c r="J647" s="90">
        <v>0.4</v>
      </c>
      <c r="K647" s="90">
        <v>0.4</v>
      </c>
      <c r="L647" s="90">
        <v>0.4</v>
      </c>
      <c r="M647" s="90">
        <v>0.4</v>
      </c>
      <c r="N647" s="90">
        <v>0.4</v>
      </c>
      <c r="O647" s="90">
        <v>0.4</v>
      </c>
      <c r="P647" s="90">
        <v>0.4</v>
      </c>
      <c r="Q647" s="90">
        <v>0.4</v>
      </c>
      <c r="R647" s="90">
        <v>0.4</v>
      </c>
      <c r="S647" s="90">
        <v>0.4</v>
      </c>
      <c r="T647" s="90">
        <v>0.4</v>
      </c>
      <c r="U647" s="90">
        <v>0.4</v>
      </c>
      <c r="V647" s="90">
        <v>0.4</v>
      </c>
      <c r="W647" s="90">
        <v>0.4</v>
      </c>
      <c r="X647" s="90">
        <v>0.4</v>
      </c>
      <c r="Y647" s="90">
        <v>0.4</v>
      </c>
      <c r="Z647" s="90">
        <v>0.4</v>
      </c>
      <c r="AA647" s="90">
        <v>0.4</v>
      </c>
      <c r="AB647" s="90">
        <v>0.4</v>
      </c>
      <c r="AC647" s="90">
        <v>0.4</v>
      </c>
      <c r="AD647" s="90">
        <v>0.4</v>
      </c>
      <c r="AE647" s="90">
        <v>0.4</v>
      </c>
      <c r="AF647" s="90">
        <v>0.4</v>
      </c>
      <c r="AG647" s="90">
        <v>0.4</v>
      </c>
      <c r="AH647" s="90">
        <v>0.4</v>
      </c>
      <c r="AI647" s="90">
        <v>0.4</v>
      </c>
      <c r="AJ647" s="90">
        <v>0.4</v>
      </c>
      <c r="AK647" s="90">
        <v>0.4</v>
      </c>
      <c r="AL647" s="90">
        <v>0.4</v>
      </c>
      <c r="AM647" s="90">
        <v>0.4</v>
      </c>
    </row>
    <row r="648" ht="20.25" hidden="1" customHeight="1" spans="3:39">
      <c r="C648" s="251"/>
      <c r="D648" s="251"/>
      <c r="E648" s="261"/>
      <c r="F648" s="261"/>
      <c r="G648" s="262"/>
      <c r="H648" s="264" t="s">
        <v>109</v>
      </c>
      <c r="I648" s="88" t="e">
        <f>SUM(J648:AM648)</f>
        <v>#REF!</v>
      </c>
      <c r="J648" s="88" t="e">
        <f>SUMIFS(#REF!,#REF!,$D$631,#REF!,$G646,#REF!,J$480)</f>
        <v>#REF!</v>
      </c>
      <c r="K648" s="88" t="e">
        <f>SUMIFS(#REF!,#REF!,$D$631,#REF!,$G646,#REF!,K$480)</f>
        <v>#REF!</v>
      </c>
      <c r="L648" s="88" t="e">
        <f>SUMIFS(#REF!,#REF!,$D$631,#REF!,$G646,#REF!,L$480)</f>
        <v>#REF!</v>
      </c>
      <c r="M648" s="88" t="e">
        <f>SUMIFS(#REF!,#REF!,$D$631,#REF!,$G646,#REF!,M$480)</f>
        <v>#REF!</v>
      </c>
      <c r="N648" s="88" t="e">
        <f>SUMIFS(#REF!,#REF!,$D$631,#REF!,$G646,#REF!,N$480)</f>
        <v>#REF!</v>
      </c>
      <c r="O648" s="88" t="e">
        <f>SUMIFS(#REF!,#REF!,$D$631,#REF!,$G646,#REF!,O$480)</f>
        <v>#REF!</v>
      </c>
      <c r="P648" s="88" t="e">
        <f>SUMIFS(#REF!,#REF!,$D$631,#REF!,$G646,#REF!,P$480)</f>
        <v>#REF!</v>
      </c>
      <c r="Q648" s="88" t="e">
        <f>SUMIFS(#REF!,#REF!,$D$631,#REF!,$G646,#REF!,Q$480)</f>
        <v>#REF!</v>
      </c>
      <c r="R648" s="88" t="e">
        <f>SUMIFS(#REF!,#REF!,$D$631,#REF!,$G646,#REF!,R$480)</f>
        <v>#REF!</v>
      </c>
      <c r="S648" s="88" t="e">
        <f>SUMIFS(#REF!,#REF!,$D$631,#REF!,$G646,#REF!,S$480)</f>
        <v>#REF!</v>
      </c>
      <c r="T648" s="88" t="e">
        <f>SUMIFS(#REF!,#REF!,$D$631,#REF!,$G646,#REF!,T$480)</f>
        <v>#REF!</v>
      </c>
      <c r="U648" s="88" t="e">
        <f>SUMIFS(#REF!,#REF!,$D$631,#REF!,$G646,#REF!,U$480)</f>
        <v>#REF!</v>
      </c>
      <c r="V648" s="88" t="e">
        <f>SUMIFS(#REF!,#REF!,$D$631,#REF!,$G646,#REF!,V$480)</f>
        <v>#REF!</v>
      </c>
      <c r="W648" s="88" t="e">
        <f>SUMIFS(#REF!,#REF!,$D$631,#REF!,$G646,#REF!,W$480)</f>
        <v>#REF!</v>
      </c>
      <c r="X648" s="88" t="e">
        <f>SUMIFS(#REF!,#REF!,$D$631,#REF!,$G646,#REF!,X$480)</f>
        <v>#REF!</v>
      </c>
      <c r="Y648" s="88" t="e">
        <f>SUMIFS(#REF!,#REF!,$D$631,#REF!,$G646,#REF!,Y$480)</f>
        <v>#REF!</v>
      </c>
      <c r="Z648" s="88" t="e">
        <f>SUMIFS(#REF!,#REF!,$D$631,#REF!,$G646,#REF!,Z$480)</f>
        <v>#REF!</v>
      </c>
      <c r="AA648" s="88" t="e">
        <f>SUMIFS(#REF!,#REF!,$D$631,#REF!,$G646,#REF!,AA$480)</f>
        <v>#REF!</v>
      </c>
      <c r="AB648" s="88" t="e">
        <f>SUMIFS(#REF!,#REF!,$D$631,#REF!,$G646,#REF!,AB$480)</f>
        <v>#REF!</v>
      </c>
      <c r="AC648" s="88" t="e">
        <f>SUMIFS(#REF!,#REF!,$D$631,#REF!,$G646,#REF!,AC$480)</f>
        <v>#REF!</v>
      </c>
      <c r="AD648" s="88" t="e">
        <f>SUMIFS(#REF!,#REF!,$D$631,#REF!,$G646,#REF!,AD$480)</f>
        <v>#REF!</v>
      </c>
      <c r="AE648" s="88" t="e">
        <f>SUMIFS(#REF!,#REF!,$D$631,#REF!,$G646,#REF!,AE$480)</f>
        <v>#REF!</v>
      </c>
      <c r="AF648" s="88" t="e">
        <f>SUMIFS(#REF!,#REF!,$D$631,#REF!,$G646,#REF!,AF$480)</f>
        <v>#REF!</v>
      </c>
      <c r="AG648" s="88" t="e">
        <f>SUMIFS(#REF!,#REF!,$D$631,#REF!,$G646,#REF!,AG$480)</f>
        <v>#REF!</v>
      </c>
      <c r="AH648" s="88" t="e">
        <f>SUMIFS(#REF!,#REF!,$D$631,#REF!,$G646,#REF!,AH$480)</f>
        <v>#REF!</v>
      </c>
      <c r="AI648" s="88" t="e">
        <f>SUMIFS(#REF!,#REF!,$D$631,#REF!,$G646,#REF!,AI$480)</f>
        <v>#REF!</v>
      </c>
      <c r="AJ648" s="88" t="e">
        <f>SUMIFS(#REF!,#REF!,$D$631,#REF!,$G646,#REF!,AJ$480)</f>
        <v>#REF!</v>
      </c>
      <c r="AK648" s="88" t="e">
        <f>SUMIFS(#REF!,#REF!,$D$631,#REF!,$G646,#REF!,AK$480)</f>
        <v>#REF!</v>
      </c>
      <c r="AL648" s="88" t="e">
        <f>SUMIFS(#REF!,#REF!,$D$631,#REF!,$G646,#REF!,AL$480)</f>
        <v>#REF!</v>
      </c>
      <c r="AM648" s="88" t="e">
        <f>SUMIFS(#REF!,#REF!,$D$631,#REF!,$G646,#REF!,AM$480)</f>
        <v>#REF!</v>
      </c>
    </row>
    <row r="649" ht="20.25" hidden="1" customHeight="1" spans="3:39">
      <c r="C649" s="251"/>
      <c r="D649" s="251"/>
      <c r="E649" s="261"/>
      <c r="F649" s="261"/>
      <c r="G649" s="262"/>
      <c r="H649" s="264" t="s">
        <v>110</v>
      </c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  <c r="AA649" s="88"/>
      <c r="AB649" s="88"/>
      <c r="AC649" s="88"/>
      <c r="AD649" s="88"/>
      <c r="AE649" s="88"/>
      <c r="AF649" s="88"/>
      <c r="AG649" s="88"/>
      <c r="AH649" s="88"/>
      <c r="AI649" s="88"/>
      <c r="AJ649" s="88"/>
      <c r="AK649" s="88"/>
      <c r="AL649" s="88"/>
      <c r="AM649" s="88"/>
    </row>
    <row r="650" ht="20.25" hidden="1" customHeight="1" spans="3:39">
      <c r="C650" s="251"/>
      <c r="D650" s="251"/>
      <c r="E650" s="261"/>
      <c r="F650" s="261"/>
      <c r="G650" s="262"/>
      <c r="H650" s="264" t="s">
        <v>111</v>
      </c>
      <c r="I650" s="90" t="e">
        <f t="shared" ref="I650:AM650" si="241">I648/I646</f>
        <v>#REF!</v>
      </c>
      <c r="J650" s="90" t="e">
        <f t="shared" si="241"/>
        <v>#REF!</v>
      </c>
      <c r="K650" s="90" t="e">
        <f t="shared" si="241"/>
        <v>#REF!</v>
      </c>
      <c r="L650" s="90" t="e">
        <f t="shared" si="241"/>
        <v>#REF!</v>
      </c>
      <c r="M650" s="90" t="e">
        <f t="shared" si="241"/>
        <v>#REF!</v>
      </c>
      <c r="N650" s="90" t="e">
        <f t="shared" si="241"/>
        <v>#REF!</v>
      </c>
      <c r="O650" s="90" t="e">
        <f t="shared" si="241"/>
        <v>#REF!</v>
      </c>
      <c r="P650" s="90" t="e">
        <f t="shared" si="241"/>
        <v>#REF!</v>
      </c>
      <c r="Q650" s="90" t="e">
        <f t="shared" si="241"/>
        <v>#REF!</v>
      </c>
      <c r="R650" s="90" t="e">
        <f t="shared" si="241"/>
        <v>#REF!</v>
      </c>
      <c r="S650" s="90" t="e">
        <f t="shared" si="241"/>
        <v>#REF!</v>
      </c>
      <c r="T650" s="90" t="e">
        <f t="shared" si="241"/>
        <v>#REF!</v>
      </c>
      <c r="U650" s="90" t="e">
        <f t="shared" si="241"/>
        <v>#REF!</v>
      </c>
      <c r="V650" s="90" t="e">
        <f t="shared" si="241"/>
        <v>#REF!</v>
      </c>
      <c r="W650" s="90" t="e">
        <f t="shared" si="241"/>
        <v>#REF!</v>
      </c>
      <c r="X650" s="90" t="e">
        <f t="shared" si="241"/>
        <v>#REF!</v>
      </c>
      <c r="Y650" s="90" t="e">
        <f t="shared" si="241"/>
        <v>#REF!</v>
      </c>
      <c r="Z650" s="90" t="e">
        <f t="shared" si="241"/>
        <v>#REF!</v>
      </c>
      <c r="AA650" s="90" t="e">
        <f t="shared" si="241"/>
        <v>#REF!</v>
      </c>
      <c r="AB650" s="90" t="e">
        <f t="shared" si="241"/>
        <v>#REF!</v>
      </c>
      <c r="AC650" s="90" t="e">
        <f t="shared" si="241"/>
        <v>#REF!</v>
      </c>
      <c r="AD650" s="90" t="e">
        <f t="shared" si="241"/>
        <v>#REF!</v>
      </c>
      <c r="AE650" s="90" t="e">
        <f t="shared" si="241"/>
        <v>#REF!</v>
      </c>
      <c r="AF650" s="90" t="e">
        <f t="shared" si="241"/>
        <v>#REF!</v>
      </c>
      <c r="AG650" s="90" t="e">
        <f t="shared" si="241"/>
        <v>#REF!</v>
      </c>
      <c r="AH650" s="90" t="e">
        <f t="shared" si="241"/>
        <v>#REF!</v>
      </c>
      <c r="AI650" s="90" t="e">
        <f t="shared" si="241"/>
        <v>#REF!</v>
      </c>
      <c r="AJ650" s="90" t="e">
        <f t="shared" si="241"/>
        <v>#REF!</v>
      </c>
      <c r="AK650" s="90" t="e">
        <f t="shared" si="241"/>
        <v>#REF!</v>
      </c>
      <c r="AL650" s="90" t="e">
        <f t="shared" si="241"/>
        <v>#REF!</v>
      </c>
      <c r="AM650" s="90" t="e">
        <f t="shared" si="241"/>
        <v>#REF!</v>
      </c>
    </row>
    <row r="651" ht="20.25" hidden="1" customHeight="1" spans="3:39">
      <c r="C651" s="251"/>
      <c r="D651" s="251"/>
      <c r="E651" s="261"/>
      <c r="F651" s="261"/>
      <c r="G651" s="259" t="s">
        <v>119</v>
      </c>
      <c r="H651" s="264" t="s">
        <v>107</v>
      </c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  <c r="AA651" s="88"/>
      <c r="AB651" s="88"/>
      <c r="AC651" s="88"/>
      <c r="AD651" s="88"/>
      <c r="AE651" s="88"/>
      <c r="AF651" s="88"/>
      <c r="AG651" s="88"/>
      <c r="AH651" s="88"/>
      <c r="AI651" s="88"/>
      <c r="AJ651" s="88"/>
      <c r="AK651" s="88"/>
      <c r="AL651" s="88"/>
      <c r="AM651" s="88"/>
    </row>
    <row r="652" ht="20.25" hidden="1" customHeight="1" spans="3:39">
      <c r="C652" s="251"/>
      <c r="D652" s="251"/>
      <c r="E652" s="261"/>
      <c r="F652" s="261"/>
      <c r="G652" s="262"/>
      <c r="H652" s="264" t="s">
        <v>108</v>
      </c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  <c r="AA652" s="88"/>
      <c r="AB652" s="88"/>
      <c r="AC652" s="88"/>
      <c r="AD652" s="88"/>
      <c r="AE652" s="88"/>
      <c r="AF652" s="88"/>
      <c r="AG652" s="88"/>
      <c r="AH652" s="88"/>
      <c r="AI652" s="88"/>
      <c r="AJ652" s="88"/>
      <c r="AK652" s="88"/>
      <c r="AL652" s="88"/>
      <c r="AM652" s="88"/>
    </row>
    <row r="653" ht="20.25" hidden="1" customHeight="1" spans="3:39">
      <c r="C653" s="251"/>
      <c r="D653" s="251"/>
      <c r="E653" s="261"/>
      <c r="F653" s="261"/>
      <c r="G653" s="262"/>
      <c r="H653" s="264" t="s">
        <v>109</v>
      </c>
      <c r="I653" s="88" t="e">
        <f>SUM(J653:AM653)</f>
        <v>#REF!</v>
      </c>
      <c r="J653" s="88" t="e">
        <f>SUMIFS(#REF!,#REF!,$D$631,#REF!,$G651,#REF!,J$480)</f>
        <v>#REF!</v>
      </c>
      <c r="K653" s="88" t="e">
        <f>SUMIFS(#REF!,#REF!,$D$631,#REF!,$G651,#REF!,K$480)</f>
        <v>#REF!</v>
      </c>
      <c r="L653" s="88" t="e">
        <f>SUMIFS(#REF!,#REF!,$D$631,#REF!,$G651,#REF!,L$480)</f>
        <v>#REF!</v>
      </c>
      <c r="M653" s="88" t="e">
        <f>SUMIFS(#REF!,#REF!,$D$631,#REF!,$G651,#REF!,M$480)</f>
        <v>#REF!</v>
      </c>
      <c r="N653" s="88" t="e">
        <f>SUMIFS(#REF!,#REF!,$D$631,#REF!,$G651,#REF!,N$480)</f>
        <v>#REF!</v>
      </c>
      <c r="O653" s="88" t="e">
        <f>SUMIFS(#REF!,#REF!,$D$631,#REF!,$G651,#REF!,O$480)</f>
        <v>#REF!</v>
      </c>
      <c r="P653" s="88" t="e">
        <f>SUMIFS(#REF!,#REF!,$D$631,#REF!,$G651,#REF!,P$480)</f>
        <v>#REF!</v>
      </c>
      <c r="Q653" s="88" t="e">
        <f>SUMIFS(#REF!,#REF!,$D$631,#REF!,$G651,#REF!,Q$480)</f>
        <v>#REF!</v>
      </c>
      <c r="R653" s="88" t="e">
        <f>SUMIFS(#REF!,#REF!,$D$631,#REF!,$G651,#REF!,R$480)</f>
        <v>#REF!</v>
      </c>
      <c r="S653" s="88" t="e">
        <f>SUMIFS(#REF!,#REF!,$D$631,#REF!,$G651,#REF!,S$480)</f>
        <v>#REF!</v>
      </c>
      <c r="T653" s="88" t="e">
        <f>SUMIFS(#REF!,#REF!,$D$631,#REF!,$G651,#REF!,T$480)</f>
        <v>#REF!</v>
      </c>
      <c r="U653" s="88" t="e">
        <f>SUMIFS(#REF!,#REF!,$D$631,#REF!,$G651,#REF!,U$480)</f>
        <v>#REF!</v>
      </c>
      <c r="V653" s="88" t="e">
        <f>SUMIFS(#REF!,#REF!,$D$631,#REF!,$G651,#REF!,V$480)</f>
        <v>#REF!</v>
      </c>
      <c r="W653" s="88" t="e">
        <f>SUMIFS(#REF!,#REF!,$D$631,#REF!,$G651,#REF!,W$480)</f>
        <v>#REF!</v>
      </c>
      <c r="X653" s="88" t="e">
        <f>SUMIFS(#REF!,#REF!,$D$631,#REF!,$G651,#REF!,X$480)</f>
        <v>#REF!</v>
      </c>
      <c r="Y653" s="88" t="e">
        <f>SUMIFS(#REF!,#REF!,$D$631,#REF!,$G651,#REF!,Y$480)</f>
        <v>#REF!</v>
      </c>
      <c r="Z653" s="88" t="e">
        <f>SUMIFS(#REF!,#REF!,$D$631,#REF!,$G651,#REF!,Z$480)</f>
        <v>#REF!</v>
      </c>
      <c r="AA653" s="88" t="e">
        <f>SUMIFS(#REF!,#REF!,$D$631,#REF!,$G651,#REF!,AA$480)</f>
        <v>#REF!</v>
      </c>
      <c r="AB653" s="88" t="e">
        <f>SUMIFS(#REF!,#REF!,$D$631,#REF!,$G651,#REF!,AB$480)</f>
        <v>#REF!</v>
      </c>
      <c r="AC653" s="88" t="e">
        <f>SUMIFS(#REF!,#REF!,$D$631,#REF!,$G651,#REF!,AC$480)</f>
        <v>#REF!</v>
      </c>
      <c r="AD653" s="88" t="e">
        <f>SUMIFS(#REF!,#REF!,$D$631,#REF!,$G651,#REF!,AD$480)</f>
        <v>#REF!</v>
      </c>
      <c r="AE653" s="88" t="e">
        <f>SUMIFS(#REF!,#REF!,$D$631,#REF!,$G651,#REF!,AE$480)</f>
        <v>#REF!</v>
      </c>
      <c r="AF653" s="88" t="e">
        <f>SUMIFS(#REF!,#REF!,$D$631,#REF!,$G651,#REF!,AF$480)</f>
        <v>#REF!</v>
      </c>
      <c r="AG653" s="88" t="e">
        <f>SUMIFS(#REF!,#REF!,$D$631,#REF!,$G651,#REF!,AG$480)</f>
        <v>#REF!</v>
      </c>
      <c r="AH653" s="88" t="e">
        <f>SUMIFS(#REF!,#REF!,$D$631,#REF!,$G651,#REF!,AH$480)</f>
        <v>#REF!</v>
      </c>
      <c r="AI653" s="88" t="e">
        <f>SUMIFS(#REF!,#REF!,$D$631,#REF!,$G651,#REF!,AI$480)</f>
        <v>#REF!</v>
      </c>
      <c r="AJ653" s="88" t="e">
        <f>SUMIFS(#REF!,#REF!,$D$631,#REF!,$G651,#REF!,AJ$480)</f>
        <v>#REF!</v>
      </c>
      <c r="AK653" s="88" t="e">
        <f>SUMIFS(#REF!,#REF!,$D$631,#REF!,$G651,#REF!,AK$480)</f>
        <v>#REF!</v>
      </c>
      <c r="AL653" s="88" t="e">
        <f>SUMIFS(#REF!,#REF!,$D$631,#REF!,$G651,#REF!,AL$480)</f>
        <v>#REF!</v>
      </c>
      <c r="AM653" s="88" t="e">
        <f>SUMIFS(#REF!,#REF!,$D$631,#REF!,$G651,#REF!,AM$480)</f>
        <v>#REF!</v>
      </c>
    </row>
    <row r="654" ht="20.25" hidden="1" customHeight="1" spans="3:39">
      <c r="C654" s="251"/>
      <c r="D654" s="251"/>
      <c r="E654" s="261"/>
      <c r="F654" s="261"/>
      <c r="G654" s="262"/>
      <c r="H654" s="264" t="s">
        <v>110</v>
      </c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  <c r="AA654" s="88"/>
      <c r="AB654" s="88"/>
      <c r="AC654" s="88"/>
      <c r="AD654" s="88"/>
      <c r="AE654" s="88"/>
      <c r="AF654" s="88"/>
      <c r="AG654" s="88"/>
      <c r="AH654" s="88"/>
      <c r="AI654" s="88"/>
      <c r="AJ654" s="88"/>
      <c r="AK654" s="88"/>
      <c r="AL654" s="88"/>
      <c r="AM654" s="88"/>
    </row>
    <row r="655" ht="20.25" hidden="1" customHeight="1" spans="3:39">
      <c r="C655" s="251"/>
      <c r="D655" s="251"/>
      <c r="E655" s="261"/>
      <c r="F655" s="261"/>
      <c r="G655" s="262"/>
      <c r="H655" s="264" t="s">
        <v>111</v>
      </c>
      <c r="I655" s="90" t="e">
        <f t="shared" ref="I655:AM655" si="242">I653/I651</f>
        <v>#REF!</v>
      </c>
      <c r="J655" s="90" t="e">
        <f t="shared" si="242"/>
        <v>#REF!</v>
      </c>
      <c r="K655" s="90" t="e">
        <f t="shared" si="242"/>
        <v>#REF!</v>
      </c>
      <c r="L655" s="90" t="e">
        <f t="shared" si="242"/>
        <v>#REF!</v>
      </c>
      <c r="M655" s="90" t="e">
        <f t="shared" si="242"/>
        <v>#REF!</v>
      </c>
      <c r="N655" s="90" t="e">
        <f t="shared" si="242"/>
        <v>#REF!</v>
      </c>
      <c r="O655" s="90" t="e">
        <f t="shared" si="242"/>
        <v>#REF!</v>
      </c>
      <c r="P655" s="90" t="e">
        <f t="shared" si="242"/>
        <v>#REF!</v>
      </c>
      <c r="Q655" s="90" t="e">
        <f t="shared" si="242"/>
        <v>#REF!</v>
      </c>
      <c r="R655" s="90" t="e">
        <f t="shared" si="242"/>
        <v>#REF!</v>
      </c>
      <c r="S655" s="90" t="e">
        <f t="shared" si="242"/>
        <v>#REF!</v>
      </c>
      <c r="T655" s="90" t="e">
        <f t="shared" si="242"/>
        <v>#REF!</v>
      </c>
      <c r="U655" s="90" t="e">
        <f t="shared" si="242"/>
        <v>#REF!</v>
      </c>
      <c r="V655" s="90" t="e">
        <f t="shared" si="242"/>
        <v>#REF!</v>
      </c>
      <c r="W655" s="90" t="e">
        <f t="shared" si="242"/>
        <v>#REF!</v>
      </c>
      <c r="X655" s="90" t="e">
        <f t="shared" si="242"/>
        <v>#REF!</v>
      </c>
      <c r="Y655" s="90" t="e">
        <f t="shared" si="242"/>
        <v>#REF!</v>
      </c>
      <c r="Z655" s="90" t="e">
        <f t="shared" si="242"/>
        <v>#REF!</v>
      </c>
      <c r="AA655" s="90" t="e">
        <f t="shared" si="242"/>
        <v>#REF!</v>
      </c>
      <c r="AB655" s="90" t="e">
        <f t="shared" si="242"/>
        <v>#REF!</v>
      </c>
      <c r="AC655" s="90" t="e">
        <f t="shared" si="242"/>
        <v>#REF!</v>
      </c>
      <c r="AD655" s="90" t="e">
        <f t="shared" si="242"/>
        <v>#REF!</v>
      </c>
      <c r="AE655" s="90" t="e">
        <f t="shared" si="242"/>
        <v>#REF!</v>
      </c>
      <c r="AF655" s="90" t="e">
        <f t="shared" si="242"/>
        <v>#REF!</v>
      </c>
      <c r="AG655" s="90" t="e">
        <f t="shared" si="242"/>
        <v>#REF!</v>
      </c>
      <c r="AH655" s="90" t="e">
        <f t="shared" si="242"/>
        <v>#REF!</v>
      </c>
      <c r="AI655" s="90" t="e">
        <f t="shared" si="242"/>
        <v>#REF!</v>
      </c>
      <c r="AJ655" s="90" t="e">
        <f t="shared" si="242"/>
        <v>#REF!</v>
      </c>
      <c r="AK655" s="90" t="e">
        <f t="shared" si="242"/>
        <v>#REF!</v>
      </c>
      <c r="AL655" s="90" t="e">
        <f t="shared" si="242"/>
        <v>#REF!</v>
      </c>
      <c r="AM655" s="90" t="e">
        <f t="shared" si="242"/>
        <v>#REF!</v>
      </c>
    </row>
    <row r="656" ht="20.25" hidden="1" customHeight="1" spans="3:39">
      <c r="C656" s="251"/>
      <c r="D656" s="251"/>
      <c r="E656" s="261"/>
      <c r="F656" s="261"/>
      <c r="G656" s="263" t="s">
        <v>94</v>
      </c>
      <c r="H656" s="264" t="s">
        <v>107</v>
      </c>
      <c r="I656" s="88">
        <v>15020</v>
      </c>
      <c r="J656" s="88">
        <v>601</v>
      </c>
      <c r="K656" s="88">
        <v>577</v>
      </c>
      <c r="L656" s="88">
        <v>577</v>
      </c>
      <c r="M656" s="88">
        <v>451</v>
      </c>
      <c r="N656" s="88">
        <v>417</v>
      </c>
      <c r="O656" s="88">
        <v>377</v>
      </c>
      <c r="P656" s="88">
        <v>407</v>
      </c>
      <c r="Q656" s="88">
        <v>405</v>
      </c>
      <c r="R656" s="88">
        <v>418</v>
      </c>
      <c r="S656" s="88">
        <v>430</v>
      </c>
      <c r="T656" s="88">
        <v>430</v>
      </c>
      <c r="U656" s="88">
        <v>417</v>
      </c>
      <c r="V656" s="88">
        <v>428</v>
      </c>
      <c r="W656" s="88">
        <v>549</v>
      </c>
      <c r="X656" s="88">
        <v>558</v>
      </c>
      <c r="Y656" s="88">
        <v>691</v>
      </c>
      <c r="Z656" s="88">
        <v>864</v>
      </c>
      <c r="AA656" s="88">
        <v>1800</v>
      </c>
      <c r="AB656" s="88">
        <v>700</v>
      </c>
      <c r="AC656" s="88">
        <v>575</v>
      </c>
      <c r="AD656" s="88">
        <v>327</v>
      </c>
      <c r="AE656" s="88">
        <v>327</v>
      </c>
      <c r="AF656" s="88">
        <v>329</v>
      </c>
      <c r="AG656" s="88">
        <v>342</v>
      </c>
      <c r="AH656" s="88">
        <v>329</v>
      </c>
      <c r="AI656" s="88">
        <v>355</v>
      </c>
      <c r="AJ656" s="88">
        <v>304</v>
      </c>
      <c r="AK656" s="88">
        <v>347</v>
      </c>
      <c r="AL656" s="88">
        <v>344</v>
      </c>
      <c r="AM656" s="88">
        <v>344</v>
      </c>
    </row>
    <row r="657" ht="20.25" hidden="1" customHeight="1" spans="3:39">
      <c r="C657" s="251"/>
      <c r="D657" s="251"/>
      <c r="E657" s="261"/>
      <c r="F657" s="261"/>
      <c r="G657" s="262"/>
      <c r="H657" s="264" t="s">
        <v>108</v>
      </c>
      <c r="I657" s="88"/>
      <c r="J657" s="88" t="e">
        <f>SUMIFS(#REF!,#REF!,$D$631,#REF!,$G655,#REF!,J$480)</f>
        <v>#REF!</v>
      </c>
      <c r="K657" s="88" t="e">
        <f>SUMIFS(#REF!,#REF!,$D$631,#REF!,$G655,#REF!,K$480)</f>
        <v>#REF!</v>
      </c>
      <c r="L657" s="88" t="e">
        <f>SUMIFS(#REF!,#REF!,$D$631,#REF!,$G655,#REF!,L$480)</f>
        <v>#REF!</v>
      </c>
      <c r="M657" s="88" t="e">
        <f>SUMIFS(#REF!,#REF!,$D$631,#REF!,$G655,#REF!,M$480)</f>
        <v>#REF!</v>
      </c>
      <c r="N657" s="88" t="e">
        <f>SUMIFS(#REF!,#REF!,$D$631,#REF!,$G655,#REF!,N$480)</f>
        <v>#REF!</v>
      </c>
      <c r="O657" s="88" t="e">
        <f>SUMIFS(#REF!,#REF!,$D$631,#REF!,$G655,#REF!,O$480)</f>
        <v>#REF!</v>
      </c>
      <c r="P657" s="88" t="e">
        <f>SUMIFS(#REF!,#REF!,$D$631,#REF!,$G655,#REF!,P$480)</f>
        <v>#REF!</v>
      </c>
      <c r="Q657" s="88" t="e">
        <f>SUMIFS(#REF!,#REF!,$D$631,#REF!,$G655,#REF!,Q$480)</f>
        <v>#REF!</v>
      </c>
      <c r="R657" s="88" t="e">
        <f>SUMIFS(#REF!,#REF!,$D$631,#REF!,$G655,#REF!,R$480)</f>
        <v>#REF!</v>
      </c>
      <c r="S657" s="88" t="e">
        <f>SUMIFS(#REF!,#REF!,$D$631,#REF!,$G655,#REF!,S$480)</f>
        <v>#REF!</v>
      </c>
      <c r="T657" s="88" t="e">
        <f>SUMIFS(#REF!,#REF!,$D$631,#REF!,$G655,#REF!,T$480)</f>
        <v>#REF!</v>
      </c>
      <c r="U657" s="88" t="e">
        <f>SUMIFS(#REF!,#REF!,$D$631,#REF!,$G655,#REF!,U$480)</f>
        <v>#REF!</v>
      </c>
      <c r="V657" s="88" t="e">
        <f>SUMIFS(#REF!,#REF!,$D$631,#REF!,$G655,#REF!,V$480)</f>
        <v>#REF!</v>
      </c>
      <c r="W657" s="88" t="e">
        <f>SUMIFS(#REF!,#REF!,$D$631,#REF!,$G655,#REF!,W$480)</f>
        <v>#REF!</v>
      </c>
      <c r="X657" s="88" t="e">
        <f>SUMIFS(#REF!,#REF!,$D$631,#REF!,$G655,#REF!,X$480)</f>
        <v>#REF!</v>
      </c>
      <c r="Y657" s="88" t="e">
        <f>SUMIFS(#REF!,#REF!,$D$631,#REF!,$G655,#REF!,Y$480)</f>
        <v>#REF!</v>
      </c>
      <c r="Z657" s="88" t="e">
        <f>SUMIFS(#REF!,#REF!,$D$631,#REF!,$G655,#REF!,Z$480)</f>
        <v>#REF!</v>
      </c>
      <c r="AA657" s="88" t="e">
        <f>SUMIFS(#REF!,#REF!,$D$631,#REF!,$G655,#REF!,AA$480)</f>
        <v>#REF!</v>
      </c>
      <c r="AB657" s="88" t="e">
        <f>SUMIFS(#REF!,#REF!,$D$631,#REF!,$G655,#REF!,AB$480)</f>
        <v>#REF!</v>
      </c>
      <c r="AC657" s="88" t="e">
        <f>SUMIFS(#REF!,#REF!,$D$631,#REF!,$G655,#REF!,AC$480)</f>
        <v>#REF!</v>
      </c>
      <c r="AD657" s="88" t="e">
        <f>SUMIFS(#REF!,#REF!,$D$631,#REF!,$G655,#REF!,AD$480)</f>
        <v>#REF!</v>
      </c>
      <c r="AE657" s="88" t="e">
        <f>SUMIFS(#REF!,#REF!,$D$631,#REF!,$G655,#REF!,AE$480)</f>
        <v>#REF!</v>
      </c>
      <c r="AF657" s="88" t="e">
        <f>SUMIFS(#REF!,#REF!,$D$631,#REF!,$G655,#REF!,AF$480)</f>
        <v>#REF!</v>
      </c>
      <c r="AG657" s="88" t="e">
        <f>SUMIFS(#REF!,#REF!,$D$631,#REF!,$G655,#REF!,AG$480)</f>
        <v>#REF!</v>
      </c>
      <c r="AH657" s="88" t="e">
        <f>SUMIFS(#REF!,#REF!,$D$631,#REF!,$G655,#REF!,AH$480)</f>
        <v>#REF!</v>
      </c>
      <c r="AI657" s="88" t="e">
        <f>SUMIFS(#REF!,#REF!,$D$631,#REF!,$G655,#REF!,AI$480)</f>
        <v>#REF!</v>
      </c>
      <c r="AJ657" s="88" t="e">
        <f>SUMIFS(#REF!,#REF!,$D$631,#REF!,$G655,#REF!,AJ$480)</f>
        <v>#REF!</v>
      </c>
      <c r="AK657" s="88" t="e">
        <f>SUMIFS(#REF!,#REF!,$D$631,#REF!,$G655,#REF!,AK$480)</f>
        <v>#REF!</v>
      </c>
      <c r="AL657" s="88" t="e">
        <f>SUMIFS(#REF!,#REF!,$D$631,#REF!,$G655,#REF!,AL$480)</f>
        <v>#REF!</v>
      </c>
      <c r="AM657" s="88" t="e">
        <f>SUMIFS(#REF!,#REF!,$D$631,#REF!,$G655,#REF!,AM$480)</f>
        <v>#REF!</v>
      </c>
    </row>
    <row r="658" ht="20.25" hidden="1" customHeight="1" spans="3:39">
      <c r="C658" s="251"/>
      <c r="D658" s="251"/>
      <c r="E658" s="261"/>
      <c r="F658" s="261"/>
      <c r="G658" s="262"/>
      <c r="H658" s="264" t="s">
        <v>109</v>
      </c>
      <c r="I658" s="88" t="e">
        <f>SUM(J658:AM658)</f>
        <v>#REF!</v>
      </c>
      <c r="J658" s="88" t="e">
        <f t="shared" ref="J658:AM658" si="243">J653+J648+J643+J638+J633</f>
        <v>#REF!</v>
      </c>
      <c r="K658" s="88" t="e">
        <f t="shared" si="243"/>
        <v>#REF!</v>
      </c>
      <c r="L658" s="88" t="e">
        <f t="shared" si="243"/>
        <v>#REF!</v>
      </c>
      <c r="M658" s="88" t="e">
        <f t="shared" si="243"/>
        <v>#REF!</v>
      </c>
      <c r="N658" s="88" t="e">
        <f t="shared" si="243"/>
        <v>#REF!</v>
      </c>
      <c r="O658" s="88" t="e">
        <f t="shared" si="243"/>
        <v>#REF!</v>
      </c>
      <c r="P658" s="88" t="e">
        <f t="shared" si="243"/>
        <v>#REF!</v>
      </c>
      <c r="Q658" s="88" t="e">
        <f t="shared" si="243"/>
        <v>#REF!</v>
      </c>
      <c r="R658" s="88" t="e">
        <f t="shared" si="243"/>
        <v>#REF!</v>
      </c>
      <c r="S658" s="88" t="e">
        <f t="shared" si="243"/>
        <v>#REF!</v>
      </c>
      <c r="T658" s="88" t="e">
        <f t="shared" si="243"/>
        <v>#REF!</v>
      </c>
      <c r="U658" s="88" t="e">
        <f t="shared" si="243"/>
        <v>#REF!</v>
      </c>
      <c r="V658" s="88" t="e">
        <f t="shared" si="243"/>
        <v>#REF!</v>
      </c>
      <c r="W658" s="88" t="e">
        <f t="shared" si="243"/>
        <v>#REF!</v>
      </c>
      <c r="X658" s="88" t="e">
        <f t="shared" si="243"/>
        <v>#REF!</v>
      </c>
      <c r="Y658" s="88" t="e">
        <f t="shared" si="243"/>
        <v>#REF!</v>
      </c>
      <c r="Z658" s="88" t="e">
        <f t="shared" si="243"/>
        <v>#REF!</v>
      </c>
      <c r="AA658" s="88" t="e">
        <f t="shared" si="243"/>
        <v>#REF!</v>
      </c>
      <c r="AB658" s="88" t="e">
        <f t="shared" si="243"/>
        <v>#REF!</v>
      </c>
      <c r="AC658" s="88" t="e">
        <f t="shared" si="243"/>
        <v>#REF!</v>
      </c>
      <c r="AD658" s="88" t="e">
        <f t="shared" si="243"/>
        <v>#REF!</v>
      </c>
      <c r="AE658" s="88" t="e">
        <f t="shared" si="243"/>
        <v>#REF!</v>
      </c>
      <c r="AF658" s="88" t="e">
        <f t="shared" si="243"/>
        <v>#REF!</v>
      </c>
      <c r="AG658" s="88" t="e">
        <f t="shared" si="243"/>
        <v>#REF!</v>
      </c>
      <c r="AH658" s="88" t="e">
        <f t="shared" si="243"/>
        <v>#REF!</v>
      </c>
      <c r="AI658" s="88" t="e">
        <f t="shared" si="243"/>
        <v>#REF!</v>
      </c>
      <c r="AJ658" s="88" t="e">
        <f t="shared" si="243"/>
        <v>#REF!</v>
      </c>
      <c r="AK658" s="88" t="e">
        <f t="shared" si="243"/>
        <v>#REF!</v>
      </c>
      <c r="AL658" s="88" t="e">
        <f t="shared" si="243"/>
        <v>#REF!</v>
      </c>
      <c r="AM658" s="88" t="e">
        <f t="shared" si="243"/>
        <v>#REF!</v>
      </c>
    </row>
    <row r="659" ht="20.25" hidden="1" customHeight="1" spans="3:39">
      <c r="C659" s="251"/>
      <c r="D659" s="251"/>
      <c r="E659" s="261"/>
      <c r="F659" s="261"/>
      <c r="G659" s="262"/>
      <c r="H659" s="264" t="s">
        <v>110</v>
      </c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  <c r="AA659" s="88"/>
      <c r="AB659" s="88"/>
      <c r="AC659" s="88"/>
      <c r="AD659" s="88"/>
      <c r="AE659" s="88"/>
      <c r="AF659" s="88"/>
      <c r="AG659" s="88"/>
      <c r="AH659" s="88"/>
      <c r="AI659" s="88"/>
      <c r="AJ659" s="88"/>
      <c r="AK659" s="88"/>
      <c r="AL659" s="88"/>
      <c r="AM659" s="88"/>
    </row>
    <row r="660" ht="20.25" hidden="1" customHeight="1" spans="3:39">
      <c r="C660" s="251"/>
      <c r="D660" s="251"/>
      <c r="E660" s="261"/>
      <c r="F660" s="261"/>
      <c r="G660" s="262"/>
      <c r="H660" s="264" t="s">
        <v>111</v>
      </c>
      <c r="I660" s="90" t="e">
        <f t="shared" ref="I660:AM660" si="244">I658/I656</f>
        <v>#REF!</v>
      </c>
      <c r="J660" s="90" t="e">
        <f t="shared" si="244"/>
        <v>#REF!</v>
      </c>
      <c r="K660" s="90" t="e">
        <f t="shared" si="244"/>
        <v>#REF!</v>
      </c>
      <c r="L660" s="90" t="e">
        <f t="shared" si="244"/>
        <v>#REF!</v>
      </c>
      <c r="M660" s="90" t="e">
        <f t="shared" si="244"/>
        <v>#REF!</v>
      </c>
      <c r="N660" s="90" t="e">
        <f t="shared" si="244"/>
        <v>#REF!</v>
      </c>
      <c r="O660" s="90" t="e">
        <f t="shared" si="244"/>
        <v>#REF!</v>
      </c>
      <c r="P660" s="90" t="e">
        <f t="shared" si="244"/>
        <v>#REF!</v>
      </c>
      <c r="Q660" s="90" t="e">
        <f t="shared" si="244"/>
        <v>#REF!</v>
      </c>
      <c r="R660" s="90" t="e">
        <f t="shared" si="244"/>
        <v>#REF!</v>
      </c>
      <c r="S660" s="90" t="e">
        <f t="shared" si="244"/>
        <v>#REF!</v>
      </c>
      <c r="T660" s="90" t="e">
        <f t="shared" si="244"/>
        <v>#REF!</v>
      </c>
      <c r="U660" s="90" t="e">
        <f t="shared" si="244"/>
        <v>#REF!</v>
      </c>
      <c r="V660" s="90" t="e">
        <f t="shared" si="244"/>
        <v>#REF!</v>
      </c>
      <c r="W660" s="90" t="e">
        <f t="shared" si="244"/>
        <v>#REF!</v>
      </c>
      <c r="X660" s="90" t="e">
        <f t="shared" si="244"/>
        <v>#REF!</v>
      </c>
      <c r="Y660" s="90" t="e">
        <f t="shared" si="244"/>
        <v>#REF!</v>
      </c>
      <c r="Z660" s="90" t="e">
        <f t="shared" si="244"/>
        <v>#REF!</v>
      </c>
      <c r="AA660" s="90" t="e">
        <f t="shared" si="244"/>
        <v>#REF!</v>
      </c>
      <c r="AB660" s="90" t="e">
        <f t="shared" si="244"/>
        <v>#REF!</v>
      </c>
      <c r="AC660" s="90" t="e">
        <f t="shared" si="244"/>
        <v>#REF!</v>
      </c>
      <c r="AD660" s="90" t="e">
        <f t="shared" si="244"/>
        <v>#REF!</v>
      </c>
      <c r="AE660" s="90" t="e">
        <f t="shared" si="244"/>
        <v>#REF!</v>
      </c>
      <c r="AF660" s="90" t="e">
        <f t="shared" si="244"/>
        <v>#REF!</v>
      </c>
      <c r="AG660" s="90" t="e">
        <f t="shared" si="244"/>
        <v>#REF!</v>
      </c>
      <c r="AH660" s="90" t="e">
        <f t="shared" si="244"/>
        <v>#REF!</v>
      </c>
      <c r="AI660" s="90" t="e">
        <f t="shared" si="244"/>
        <v>#REF!</v>
      </c>
      <c r="AJ660" s="90" t="e">
        <f t="shared" si="244"/>
        <v>#REF!</v>
      </c>
      <c r="AK660" s="90" t="e">
        <f t="shared" si="244"/>
        <v>#REF!</v>
      </c>
      <c r="AL660" s="90" t="e">
        <f t="shared" si="244"/>
        <v>#REF!</v>
      </c>
      <c r="AM660" s="90" t="e">
        <f t="shared" si="244"/>
        <v>#REF!</v>
      </c>
    </row>
    <row r="661" ht="20.25" hidden="1" customHeight="1" spans="3:39">
      <c r="C661" s="251"/>
      <c r="D661" s="257" t="s">
        <v>38</v>
      </c>
      <c r="E661" s="258">
        <f>I686/$I$686</f>
        <v>1</v>
      </c>
      <c r="F661" s="258" t="e">
        <f>I688/$I$688</f>
        <v>#REF!</v>
      </c>
      <c r="G661" s="259" t="s">
        <v>115</v>
      </c>
      <c r="H661" s="264" t="s">
        <v>107</v>
      </c>
      <c r="I661" s="88">
        <f t="shared" ref="I661:AM661" si="245">I481+I511+I541+I571+I601+I631</f>
        <v>181265</v>
      </c>
      <c r="J661" s="88">
        <f t="shared" si="245"/>
        <v>7248</v>
      </c>
      <c r="K661" s="88">
        <f t="shared" si="245"/>
        <v>6962</v>
      </c>
      <c r="L661" s="88">
        <f t="shared" si="245"/>
        <v>6962</v>
      </c>
      <c r="M661" s="88">
        <f t="shared" si="245"/>
        <v>5442</v>
      </c>
      <c r="N661" s="88">
        <f t="shared" si="245"/>
        <v>5025</v>
      </c>
      <c r="O661" s="88">
        <f t="shared" si="245"/>
        <v>4543</v>
      </c>
      <c r="P661" s="88">
        <f t="shared" si="245"/>
        <v>4906</v>
      </c>
      <c r="Q661" s="88">
        <f t="shared" si="245"/>
        <v>4886</v>
      </c>
      <c r="R661" s="88">
        <f t="shared" si="245"/>
        <v>5046</v>
      </c>
      <c r="S661" s="88">
        <f t="shared" si="245"/>
        <v>5185</v>
      </c>
      <c r="T661" s="88">
        <f t="shared" si="245"/>
        <v>5185</v>
      </c>
      <c r="U661" s="88">
        <f t="shared" si="245"/>
        <v>5025</v>
      </c>
      <c r="V661" s="88">
        <f t="shared" si="245"/>
        <v>5164</v>
      </c>
      <c r="W661" s="88">
        <f t="shared" si="245"/>
        <v>6618</v>
      </c>
      <c r="X661" s="88">
        <f t="shared" si="245"/>
        <v>6737</v>
      </c>
      <c r="Y661" s="88">
        <f t="shared" si="245"/>
        <v>8332</v>
      </c>
      <c r="Z661" s="88">
        <f t="shared" si="245"/>
        <v>10427</v>
      </c>
      <c r="AA661" s="88">
        <f t="shared" si="245"/>
        <v>21825</v>
      </c>
      <c r="AB661" s="88">
        <f t="shared" si="245"/>
        <v>8438</v>
      </c>
      <c r="AC661" s="88">
        <f t="shared" si="245"/>
        <v>6941</v>
      </c>
      <c r="AD661" s="88">
        <f t="shared" si="245"/>
        <v>3944</v>
      </c>
      <c r="AE661" s="88">
        <f t="shared" si="245"/>
        <v>3944</v>
      </c>
      <c r="AF661" s="88">
        <f t="shared" si="245"/>
        <v>3964</v>
      </c>
      <c r="AG661" s="88">
        <f t="shared" si="245"/>
        <v>4125</v>
      </c>
      <c r="AH661" s="88">
        <f t="shared" si="245"/>
        <v>3964</v>
      </c>
      <c r="AI661" s="88">
        <f t="shared" si="245"/>
        <v>4286</v>
      </c>
      <c r="AJ661" s="88">
        <f t="shared" si="245"/>
        <v>3665</v>
      </c>
      <c r="AK661" s="88">
        <f t="shared" si="245"/>
        <v>4190</v>
      </c>
      <c r="AL661" s="88">
        <f t="shared" si="245"/>
        <v>4147</v>
      </c>
      <c r="AM661" s="88">
        <f t="shared" si="245"/>
        <v>4147</v>
      </c>
    </row>
    <row r="662" ht="20.25" hidden="1" customHeight="1" spans="3:39">
      <c r="C662" s="251"/>
      <c r="D662" s="251"/>
      <c r="E662" s="261"/>
      <c r="F662" s="261"/>
      <c r="G662" s="262"/>
      <c r="H662" s="264" t="s">
        <v>108</v>
      </c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  <c r="AA662" s="88"/>
      <c r="AB662" s="88"/>
      <c r="AC662" s="88"/>
      <c r="AD662" s="88"/>
      <c r="AE662" s="88"/>
      <c r="AF662" s="88"/>
      <c r="AG662" s="88"/>
      <c r="AH662" s="88"/>
      <c r="AI662" s="88"/>
      <c r="AJ662" s="88"/>
      <c r="AK662" s="88"/>
      <c r="AL662" s="88"/>
      <c r="AM662" s="88"/>
    </row>
    <row r="663" ht="20.25" hidden="1" customHeight="1" spans="3:39">
      <c r="C663" s="251"/>
      <c r="D663" s="251"/>
      <c r="E663" s="261"/>
      <c r="F663" s="261"/>
      <c r="G663" s="262"/>
      <c r="H663" s="264" t="s">
        <v>109</v>
      </c>
      <c r="I663" s="88" t="e">
        <f t="shared" ref="I663:AM663" si="246">I483+I513+I543+I573+I603+I633</f>
        <v>#REF!</v>
      </c>
      <c r="J663" s="88" t="e">
        <f t="shared" si="246"/>
        <v>#REF!</v>
      </c>
      <c r="K663" s="88" t="e">
        <f t="shared" si="246"/>
        <v>#REF!</v>
      </c>
      <c r="L663" s="88" t="e">
        <f t="shared" si="246"/>
        <v>#REF!</v>
      </c>
      <c r="M663" s="88" t="e">
        <f t="shared" si="246"/>
        <v>#REF!</v>
      </c>
      <c r="N663" s="88" t="e">
        <f t="shared" si="246"/>
        <v>#REF!</v>
      </c>
      <c r="O663" s="88" t="e">
        <f t="shared" si="246"/>
        <v>#REF!</v>
      </c>
      <c r="P663" s="88" t="e">
        <f t="shared" si="246"/>
        <v>#REF!</v>
      </c>
      <c r="Q663" s="88" t="e">
        <f t="shared" si="246"/>
        <v>#REF!</v>
      </c>
      <c r="R663" s="88" t="e">
        <f t="shared" si="246"/>
        <v>#REF!</v>
      </c>
      <c r="S663" s="88" t="e">
        <f t="shared" si="246"/>
        <v>#REF!</v>
      </c>
      <c r="T663" s="88" t="e">
        <f t="shared" si="246"/>
        <v>#REF!</v>
      </c>
      <c r="U663" s="88" t="e">
        <f t="shared" si="246"/>
        <v>#REF!</v>
      </c>
      <c r="V663" s="88" t="e">
        <f t="shared" si="246"/>
        <v>#REF!</v>
      </c>
      <c r="W663" s="88" t="e">
        <f t="shared" si="246"/>
        <v>#REF!</v>
      </c>
      <c r="X663" s="88" t="e">
        <f t="shared" si="246"/>
        <v>#REF!</v>
      </c>
      <c r="Y663" s="88" t="e">
        <f t="shared" si="246"/>
        <v>#REF!</v>
      </c>
      <c r="Z663" s="88" t="e">
        <f t="shared" si="246"/>
        <v>#REF!</v>
      </c>
      <c r="AA663" s="88" t="e">
        <f t="shared" si="246"/>
        <v>#REF!</v>
      </c>
      <c r="AB663" s="88" t="e">
        <f t="shared" si="246"/>
        <v>#REF!</v>
      </c>
      <c r="AC663" s="88" t="e">
        <f t="shared" si="246"/>
        <v>#REF!</v>
      </c>
      <c r="AD663" s="88" t="e">
        <f t="shared" si="246"/>
        <v>#REF!</v>
      </c>
      <c r="AE663" s="88" t="e">
        <f t="shared" si="246"/>
        <v>#REF!</v>
      </c>
      <c r="AF663" s="88" t="e">
        <f t="shared" si="246"/>
        <v>#REF!</v>
      </c>
      <c r="AG663" s="88" t="e">
        <f t="shared" si="246"/>
        <v>#REF!</v>
      </c>
      <c r="AH663" s="88" t="e">
        <f t="shared" si="246"/>
        <v>#REF!</v>
      </c>
      <c r="AI663" s="88" t="e">
        <f t="shared" si="246"/>
        <v>#REF!</v>
      </c>
      <c r="AJ663" s="88" t="e">
        <f t="shared" si="246"/>
        <v>#REF!</v>
      </c>
      <c r="AK663" s="88" t="e">
        <f t="shared" si="246"/>
        <v>#REF!</v>
      </c>
      <c r="AL663" s="88" t="e">
        <f t="shared" si="246"/>
        <v>#REF!</v>
      </c>
      <c r="AM663" s="88" t="e">
        <f t="shared" si="246"/>
        <v>#REF!</v>
      </c>
    </row>
    <row r="664" ht="20.25" hidden="1" customHeight="1" spans="3:39">
      <c r="C664" s="251"/>
      <c r="D664" s="251"/>
      <c r="E664" s="261"/>
      <c r="F664" s="261"/>
      <c r="G664" s="262"/>
      <c r="H664" s="264" t="s">
        <v>110</v>
      </c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  <c r="AA664" s="88"/>
      <c r="AB664" s="88"/>
      <c r="AC664" s="88"/>
      <c r="AD664" s="88"/>
      <c r="AE664" s="88"/>
      <c r="AF664" s="88"/>
      <c r="AG664" s="88"/>
      <c r="AH664" s="88"/>
      <c r="AI664" s="88"/>
      <c r="AJ664" s="88"/>
      <c r="AK664" s="88"/>
      <c r="AL664" s="88"/>
      <c r="AM664" s="88"/>
    </row>
    <row r="665" ht="20.25" hidden="1" customHeight="1" spans="3:39">
      <c r="C665" s="251"/>
      <c r="D665" s="251"/>
      <c r="E665" s="261"/>
      <c r="F665" s="261"/>
      <c r="G665" s="262"/>
      <c r="H665" s="264" t="s">
        <v>111</v>
      </c>
      <c r="I665" s="90" t="e">
        <f t="shared" ref="I665:AM665" si="247">I663/I661</f>
        <v>#REF!</v>
      </c>
      <c r="J665" s="90" t="e">
        <f t="shared" si="247"/>
        <v>#REF!</v>
      </c>
      <c r="K665" s="90" t="e">
        <f t="shared" si="247"/>
        <v>#REF!</v>
      </c>
      <c r="L665" s="90" t="e">
        <f t="shared" si="247"/>
        <v>#REF!</v>
      </c>
      <c r="M665" s="90" t="e">
        <f t="shared" si="247"/>
        <v>#REF!</v>
      </c>
      <c r="N665" s="90" t="e">
        <f t="shared" si="247"/>
        <v>#REF!</v>
      </c>
      <c r="O665" s="90" t="e">
        <f t="shared" si="247"/>
        <v>#REF!</v>
      </c>
      <c r="P665" s="90" t="e">
        <f t="shared" si="247"/>
        <v>#REF!</v>
      </c>
      <c r="Q665" s="90" t="e">
        <f t="shared" si="247"/>
        <v>#REF!</v>
      </c>
      <c r="R665" s="90" t="e">
        <f t="shared" si="247"/>
        <v>#REF!</v>
      </c>
      <c r="S665" s="90" t="e">
        <f t="shared" si="247"/>
        <v>#REF!</v>
      </c>
      <c r="T665" s="90" t="e">
        <f t="shared" si="247"/>
        <v>#REF!</v>
      </c>
      <c r="U665" s="90" t="e">
        <f t="shared" si="247"/>
        <v>#REF!</v>
      </c>
      <c r="V665" s="90" t="e">
        <f t="shared" si="247"/>
        <v>#REF!</v>
      </c>
      <c r="W665" s="90" t="e">
        <f t="shared" si="247"/>
        <v>#REF!</v>
      </c>
      <c r="X665" s="90" t="e">
        <f t="shared" si="247"/>
        <v>#REF!</v>
      </c>
      <c r="Y665" s="90" t="e">
        <f t="shared" si="247"/>
        <v>#REF!</v>
      </c>
      <c r="Z665" s="90" t="e">
        <f t="shared" si="247"/>
        <v>#REF!</v>
      </c>
      <c r="AA665" s="90" t="e">
        <f t="shared" si="247"/>
        <v>#REF!</v>
      </c>
      <c r="AB665" s="90" t="e">
        <f t="shared" si="247"/>
        <v>#REF!</v>
      </c>
      <c r="AC665" s="90" t="e">
        <f t="shared" si="247"/>
        <v>#REF!</v>
      </c>
      <c r="AD665" s="90" t="e">
        <f t="shared" si="247"/>
        <v>#REF!</v>
      </c>
      <c r="AE665" s="90" t="e">
        <f t="shared" si="247"/>
        <v>#REF!</v>
      </c>
      <c r="AF665" s="90" t="e">
        <f t="shared" si="247"/>
        <v>#REF!</v>
      </c>
      <c r="AG665" s="90" t="e">
        <f t="shared" si="247"/>
        <v>#REF!</v>
      </c>
      <c r="AH665" s="90" t="e">
        <f t="shared" si="247"/>
        <v>#REF!</v>
      </c>
      <c r="AI665" s="90" t="e">
        <f t="shared" si="247"/>
        <v>#REF!</v>
      </c>
      <c r="AJ665" s="90" t="e">
        <f t="shared" si="247"/>
        <v>#REF!</v>
      </c>
      <c r="AK665" s="90" t="e">
        <f t="shared" si="247"/>
        <v>#REF!</v>
      </c>
      <c r="AL665" s="90" t="e">
        <f t="shared" si="247"/>
        <v>#REF!</v>
      </c>
      <c r="AM665" s="90" t="e">
        <f t="shared" si="247"/>
        <v>#REF!</v>
      </c>
    </row>
    <row r="666" ht="20.25" hidden="1" customHeight="1" spans="3:39">
      <c r="C666" s="251"/>
      <c r="D666" s="251"/>
      <c r="E666" s="261"/>
      <c r="F666" s="261"/>
      <c r="G666" s="259" t="s">
        <v>116</v>
      </c>
      <c r="H666" s="264" t="s">
        <v>107</v>
      </c>
      <c r="I666" s="88">
        <f t="shared" ref="I666:AM666" si="248">I486+I516+I546+I576+I606+I636</f>
        <v>133651</v>
      </c>
      <c r="J666" s="88">
        <f t="shared" si="248"/>
        <v>5346</v>
      </c>
      <c r="K666" s="88">
        <f t="shared" si="248"/>
        <v>5134</v>
      </c>
      <c r="L666" s="88">
        <f t="shared" si="248"/>
        <v>5134</v>
      </c>
      <c r="M666" s="88">
        <f t="shared" si="248"/>
        <v>4014</v>
      </c>
      <c r="N666" s="88">
        <f t="shared" si="248"/>
        <v>3705</v>
      </c>
      <c r="O666" s="88">
        <f t="shared" si="248"/>
        <v>3351</v>
      </c>
      <c r="P666" s="88">
        <f t="shared" si="248"/>
        <v>3618</v>
      </c>
      <c r="Q666" s="88">
        <f t="shared" si="248"/>
        <v>3603</v>
      </c>
      <c r="R666" s="88">
        <f t="shared" si="248"/>
        <v>3721</v>
      </c>
      <c r="S666" s="88">
        <f t="shared" si="248"/>
        <v>3823</v>
      </c>
      <c r="T666" s="88">
        <f t="shared" si="248"/>
        <v>3823</v>
      </c>
      <c r="U666" s="88">
        <f t="shared" si="248"/>
        <v>3705</v>
      </c>
      <c r="V666" s="88">
        <f t="shared" si="248"/>
        <v>3808</v>
      </c>
      <c r="W666" s="88">
        <f t="shared" si="248"/>
        <v>4882</v>
      </c>
      <c r="X666" s="88">
        <f t="shared" si="248"/>
        <v>4967</v>
      </c>
      <c r="Y666" s="88">
        <f t="shared" si="248"/>
        <v>6145</v>
      </c>
      <c r="Z666" s="88">
        <f t="shared" si="248"/>
        <v>7689</v>
      </c>
      <c r="AA666" s="88">
        <f t="shared" si="248"/>
        <v>16067</v>
      </c>
      <c r="AB666" s="88">
        <f t="shared" si="248"/>
        <v>6223</v>
      </c>
      <c r="AC666" s="88">
        <f t="shared" si="248"/>
        <v>5118</v>
      </c>
      <c r="AD666" s="88">
        <f t="shared" si="248"/>
        <v>2908</v>
      </c>
      <c r="AE666" s="88">
        <f t="shared" si="248"/>
        <v>2908</v>
      </c>
      <c r="AF666" s="88">
        <f t="shared" si="248"/>
        <v>2924</v>
      </c>
      <c r="AG666" s="88">
        <f t="shared" si="248"/>
        <v>3042</v>
      </c>
      <c r="AH666" s="88">
        <f t="shared" si="248"/>
        <v>2924</v>
      </c>
      <c r="AI666" s="88">
        <f t="shared" si="248"/>
        <v>3160</v>
      </c>
      <c r="AJ666" s="88">
        <f t="shared" si="248"/>
        <v>2702</v>
      </c>
      <c r="AK666" s="88">
        <f t="shared" si="248"/>
        <v>3089</v>
      </c>
      <c r="AL666" s="88">
        <f t="shared" si="248"/>
        <v>3058</v>
      </c>
      <c r="AM666" s="88">
        <f t="shared" si="248"/>
        <v>3058</v>
      </c>
    </row>
    <row r="667" ht="20.25" hidden="1" customHeight="1" spans="3:39">
      <c r="C667" s="251"/>
      <c r="D667" s="251"/>
      <c r="E667" s="261"/>
      <c r="F667" s="261"/>
      <c r="G667" s="262"/>
      <c r="H667" s="264" t="s">
        <v>108</v>
      </c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  <c r="AA667" s="88"/>
      <c r="AB667" s="88"/>
      <c r="AC667" s="88"/>
      <c r="AD667" s="88"/>
      <c r="AE667" s="88"/>
      <c r="AF667" s="88"/>
      <c r="AG667" s="88"/>
      <c r="AH667" s="88"/>
      <c r="AI667" s="88"/>
      <c r="AJ667" s="88"/>
      <c r="AK667" s="88"/>
      <c r="AL667" s="88"/>
      <c r="AM667" s="88"/>
    </row>
    <row r="668" ht="20.25" hidden="1" customHeight="1" spans="3:39">
      <c r="C668" s="251"/>
      <c r="D668" s="251"/>
      <c r="E668" s="261"/>
      <c r="F668" s="261"/>
      <c r="G668" s="262"/>
      <c r="H668" s="264" t="s">
        <v>109</v>
      </c>
      <c r="I668" s="88" t="e">
        <f t="shared" ref="I668:AM668" si="249">I488+I518+I548+I578+I608+I638</f>
        <v>#REF!</v>
      </c>
      <c r="J668" s="88" t="e">
        <f t="shared" si="249"/>
        <v>#REF!</v>
      </c>
      <c r="K668" s="88" t="e">
        <f t="shared" si="249"/>
        <v>#REF!</v>
      </c>
      <c r="L668" s="88" t="e">
        <f t="shared" si="249"/>
        <v>#REF!</v>
      </c>
      <c r="M668" s="88" t="e">
        <f t="shared" si="249"/>
        <v>#REF!</v>
      </c>
      <c r="N668" s="88" t="e">
        <f t="shared" si="249"/>
        <v>#REF!</v>
      </c>
      <c r="O668" s="88" t="e">
        <f t="shared" si="249"/>
        <v>#REF!</v>
      </c>
      <c r="P668" s="88" t="e">
        <f t="shared" si="249"/>
        <v>#REF!</v>
      </c>
      <c r="Q668" s="88" t="e">
        <f t="shared" si="249"/>
        <v>#REF!</v>
      </c>
      <c r="R668" s="88" t="e">
        <f t="shared" si="249"/>
        <v>#REF!</v>
      </c>
      <c r="S668" s="88" t="e">
        <f t="shared" si="249"/>
        <v>#REF!</v>
      </c>
      <c r="T668" s="88" t="e">
        <f t="shared" si="249"/>
        <v>#REF!</v>
      </c>
      <c r="U668" s="88" t="e">
        <f t="shared" si="249"/>
        <v>#REF!</v>
      </c>
      <c r="V668" s="88" t="e">
        <f t="shared" si="249"/>
        <v>#REF!</v>
      </c>
      <c r="W668" s="88" t="e">
        <f t="shared" si="249"/>
        <v>#REF!</v>
      </c>
      <c r="X668" s="88" t="e">
        <f t="shared" si="249"/>
        <v>#REF!</v>
      </c>
      <c r="Y668" s="88" t="e">
        <f t="shared" si="249"/>
        <v>#REF!</v>
      </c>
      <c r="Z668" s="88" t="e">
        <f t="shared" si="249"/>
        <v>#REF!</v>
      </c>
      <c r="AA668" s="88" t="e">
        <f t="shared" si="249"/>
        <v>#REF!</v>
      </c>
      <c r="AB668" s="88" t="e">
        <f t="shared" si="249"/>
        <v>#REF!</v>
      </c>
      <c r="AC668" s="88" t="e">
        <f t="shared" si="249"/>
        <v>#REF!</v>
      </c>
      <c r="AD668" s="88" t="e">
        <f t="shared" si="249"/>
        <v>#REF!</v>
      </c>
      <c r="AE668" s="88" t="e">
        <f t="shared" si="249"/>
        <v>#REF!</v>
      </c>
      <c r="AF668" s="88" t="e">
        <f t="shared" si="249"/>
        <v>#REF!</v>
      </c>
      <c r="AG668" s="88" t="e">
        <f t="shared" si="249"/>
        <v>#REF!</v>
      </c>
      <c r="AH668" s="88" t="e">
        <f t="shared" si="249"/>
        <v>#REF!</v>
      </c>
      <c r="AI668" s="88" t="e">
        <f t="shared" si="249"/>
        <v>#REF!</v>
      </c>
      <c r="AJ668" s="88" t="e">
        <f t="shared" si="249"/>
        <v>#REF!</v>
      </c>
      <c r="AK668" s="88" t="e">
        <f t="shared" si="249"/>
        <v>#REF!</v>
      </c>
      <c r="AL668" s="88" t="e">
        <f t="shared" si="249"/>
        <v>#REF!</v>
      </c>
      <c r="AM668" s="88" t="e">
        <f t="shared" si="249"/>
        <v>#REF!</v>
      </c>
    </row>
    <row r="669" ht="20.25" hidden="1" customHeight="1" spans="3:39">
      <c r="C669" s="251"/>
      <c r="D669" s="251"/>
      <c r="E669" s="261"/>
      <c r="F669" s="261"/>
      <c r="G669" s="262"/>
      <c r="H669" s="264" t="s">
        <v>110</v>
      </c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  <c r="AA669" s="88"/>
      <c r="AB669" s="88"/>
      <c r="AC669" s="88"/>
      <c r="AD669" s="88"/>
      <c r="AE669" s="88"/>
      <c r="AF669" s="88"/>
      <c r="AG669" s="88"/>
      <c r="AH669" s="88"/>
      <c r="AI669" s="88"/>
      <c r="AJ669" s="88"/>
      <c r="AK669" s="88"/>
      <c r="AL669" s="88"/>
      <c r="AM669" s="88"/>
    </row>
    <row r="670" ht="20.25" hidden="1" customHeight="1" spans="3:39">
      <c r="C670" s="251"/>
      <c r="D670" s="251"/>
      <c r="E670" s="261"/>
      <c r="F670" s="261"/>
      <c r="G670" s="262"/>
      <c r="H670" s="264" t="s">
        <v>111</v>
      </c>
      <c r="I670" s="90" t="e">
        <f t="shared" ref="I670:AM670" si="250">I668/I666</f>
        <v>#REF!</v>
      </c>
      <c r="J670" s="90" t="e">
        <f t="shared" si="250"/>
        <v>#REF!</v>
      </c>
      <c r="K670" s="90" t="e">
        <f t="shared" si="250"/>
        <v>#REF!</v>
      </c>
      <c r="L670" s="90" t="e">
        <f t="shared" si="250"/>
        <v>#REF!</v>
      </c>
      <c r="M670" s="90" t="e">
        <f t="shared" si="250"/>
        <v>#REF!</v>
      </c>
      <c r="N670" s="90" t="e">
        <f t="shared" si="250"/>
        <v>#REF!</v>
      </c>
      <c r="O670" s="90" t="e">
        <f t="shared" si="250"/>
        <v>#REF!</v>
      </c>
      <c r="P670" s="90" t="e">
        <f t="shared" si="250"/>
        <v>#REF!</v>
      </c>
      <c r="Q670" s="90" t="e">
        <f t="shared" si="250"/>
        <v>#REF!</v>
      </c>
      <c r="R670" s="90" t="e">
        <f t="shared" si="250"/>
        <v>#REF!</v>
      </c>
      <c r="S670" s="90" t="e">
        <f t="shared" si="250"/>
        <v>#REF!</v>
      </c>
      <c r="T670" s="90" t="e">
        <f t="shared" si="250"/>
        <v>#REF!</v>
      </c>
      <c r="U670" s="90" t="e">
        <f t="shared" si="250"/>
        <v>#REF!</v>
      </c>
      <c r="V670" s="90" t="e">
        <f t="shared" si="250"/>
        <v>#REF!</v>
      </c>
      <c r="W670" s="90" t="e">
        <f t="shared" si="250"/>
        <v>#REF!</v>
      </c>
      <c r="X670" s="90" t="e">
        <f t="shared" si="250"/>
        <v>#REF!</v>
      </c>
      <c r="Y670" s="90" t="e">
        <f t="shared" si="250"/>
        <v>#REF!</v>
      </c>
      <c r="Z670" s="90" t="e">
        <f t="shared" si="250"/>
        <v>#REF!</v>
      </c>
      <c r="AA670" s="90" t="e">
        <f t="shared" si="250"/>
        <v>#REF!</v>
      </c>
      <c r="AB670" s="90" t="e">
        <f t="shared" si="250"/>
        <v>#REF!</v>
      </c>
      <c r="AC670" s="90" t="e">
        <f t="shared" si="250"/>
        <v>#REF!</v>
      </c>
      <c r="AD670" s="90" t="e">
        <f t="shared" si="250"/>
        <v>#REF!</v>
      </c>
      <c r="AE670" s="90" t="e">
        <f t="shared" si="250"/>
        <v>#REF!</v>
      </c>
      <c r="AF670" s="90" t="e">
        <f t="shared" si="250"/>
        <v>#REF!</v>
      </c>
      <c r="AG670" s="90" t="e">
        <f t="shared" si="250"/>
        <v>#REF!</v>
      </c>
      <c r="AH670" s="90" t="e">
        <f t="shared" si="250"/>
        <v>#REF!</v>
      </c>
      <c r="AI670" s="90" t="e">
        <f t="shared" si="250"/>
        <v>#REF!</v>
      </c>
      <c r="AJ670" s="90" t="e">
        <f t="shared" si="250"/>
        <v>#REF!</v>
      </c>
      <c r="AK670" s="90" t="e">
        <f t="shared" si="250"/>
        <v>#REF!</v>
      </c>
      <c r="AL670" s="90" t="e">
        <f t="shared" si="250"/>
        <v>#REF!</v>
      </c>
      <c r="AM670" s="90" t="e">
        <f t="shared" si="250"/>
        <v>#REF!</v>
      </c>
    </row>
    <row r="671" ht="20.25" hidden="1" customHeight="1" spans="3:39">
      <c r="C671" s="251"/>
      <c r="D671" s="251"/>
      <c r="E671" s="261"/>
      <c r="F671" s="261"/>
      <c r="G671" s="259" t="s">
        <v>117</v>
      </c>
      <c r="H671" s="264" t="s">
        <v>107</v>
      </c>
      <c r="I671" s="88">
        <f t="shared" ref="I671:AM671" si="251">I491+I521+I551+I581+I611+I641</f>
        <v>19578</v>
      </c>
      <c r="J671" s="88">
        <f t="shared" si="251"/>
        <v>782</v>
      </c>
      <c r="K671" s="88">
        <f t="shared" si="251"/>
        <v>751</v>
      </c>
      <c r="L671" s="88">
        <f t="shared" si="251"/>
        <v>751</v>
      </c>
      <c r="M671" s="88">
        <f t="shared" si="251"/>
        <v>587</v>
      </c>
      <c r="N671" s="88">
        <f t="shared" si="251"/>
        <v>542</v>
      </c>
      <c r="O671" s="88">
        <f t="shared" si="251"/>
        <v>490</v>
      </c>
      <c r="P671" s="88">
        <f t="shared" si="251"/>
        <v>529</v>
      </c>
      <c r="Q671" s="88">
        <f t="shared" si="251"/>
        <v>527</v>
      </c>
      <c r="R671" s="88">
        <f t="shared" si="251"/>
        <v>544</v>
      </c>
      <c r="S671" s="88">
        <f t="shared" si="251"/>
        <v>559</v>
      </c>
      <c r="T671" s="88">
        <f t="shared" si="251"/>
        <v>559</v>
      </c>
      <c r="U671" s="88">
        <f t="shared" si="251"/>
        <v>542</v>
      </c>
      <c r="V671" s="88">
        <f t="shared" si="251"/>
        <v>557</v>
      </c>
      <c r="W671" s="88">
        <f t="shared" si="251"/>
        <v>714</v>
      </c>
      <c r="X671" s="88">
        <f t="shared" si="251"/>
        <v>726</v>
      </c>
      <c r="Y671" s="88">
        <f t="shared" si="251"/>
        <v>898</v>
      </c>
      <c r="Z671" s="88">
        <f t="shared" si="251"/>
        <v>1124</v>
      </c>
      <c r="AA671" s="88">
        <f t="shared" si="251"/>
        <v>2385</v>
      </c>
      <c r="AB671" s="88">
        <f t="shared" si="251"/>
        <v>910</v>
      </c>
      <c r="AC671" s="88">
        <f t="shared" si="251"/>
        <v>748</v>
      </c>
      <c r="AD671" s="88">
        <f t="shared" si="251"/>
        <v>425</v>
      </c>
      <c r="AE671" s="88">
        <f t="shared" si="251"/>
        <v>425</v>
      </c>
      <c r="AF671" s="88">
        <f t="shared" si="251"/>
        <v>428</v>
      </c>
      <c r="AG671" s="88">
        <f t="shared" si="251"/>
        <v>445</v>
      </c>
      <c r="AH671" s="88">
        <f t="shared" si="251"/>
        <v>428</v>
      </c>
      <c r="AI671" s="88">
        <f t="shared" si="251"/>
        <v>462</v>
      </c>
      <c r="AJ671" s="88">
        <f t="shared" si="251"/>
        <v>395</v>
      </c>
      <c r="AK671" s="88">
        <f t="shared" si="251"/>
        <v>452</v>
      </c>
      <c r="AL671" s="88">
        <f t="shared" si="251"/>
        <v>447</v>
      </c>
      <c r="AM671" s="88">
        <f t="shared" si="251"/>
        <v>447</v>
      </c>
    </row>
    <row r="672" ht="20.25" hidden="1" customHeight="1" spans="3:39">
      <c r="C672" s="251"/>
      <c r="D672" s="251"/>
      <c r="E672" s="261"/>
      <c r="F672" s="261"/>
      <c r="G672" s="262"/>
      <c r="H672" s="264" t="s">
        <v>108</v>
      </c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  <c r="AA672" s="88"/>
      <c r="AB672" s="88"/>
      <c r="AC672" s="88"/>
      <c r="AD672" s="88"/>
      <c r="AE672" s="88"/>
      <c r="AF672" s="88"/>
      <c r="AG672" s="88"/>
      <c r="AH672" s="88"/>
      <c r="AI672" s="88"/>
      <c r="AJ672" s="88"/>
      <c r="AK672" s="88"/>
      <c r="AL672" s="88"/>
      <c r="AM672" s="88"/>
    </row>
    <row r="673" ht="20.25" hidden="1" customHeight="1" spans="3:39">
      <c r="C673" s="251"/>
      <c r="D673" s="251"/>
      <c r="E673" s="261"/>
      <c r="F673" s="261"/>
      <c r="G673" s="262"/>
      <c r="H673" s="264" t="s">
        <v>109</v>
      </c>
      <c r="I673" s="88" t="e">
        <f t="shared" ref="I673:AM673" si="252">I493+I523+I553+I583+I613+I643</f>
        <v>#REF!</v>
      </c>
      <c r="J673" s="88" t="e">
        <f t="shared" si="252"/>
        <v>#REF!</v>
      </c>
      <c r="K673" s="88" t="e">
        <f t="shared" si="252"/>
        <v>#REF!</v>
      </c>
      <c r="L673" s="88" t="e">
        <f t="shared" si="252"/>
        <v>#REF!</v>
      </c>
      <c r="M673" s="88" t="e">
        <f t="shared" si="252"/>
        <v>#REF!</v>
      </c>
      <c r="N673" s="88" t="e">
        <f t="shared" si="252"/>
        <v>#REF!</v>
      </c>
      <c r="O673" s="88" t="e">
        <f t="shared" si="252"/>
        <v>#REF!</v>
      </c>
      <c r="P673" s="88" t="e">
        <f t="shared" si="252"/>
        <v>#REF!</v>
      </c>
      <c r="Q673" s="88" t="e">
        <f t="shared" si="252"/>
        <v>#REF!</v>
      </c>
      <c r="R673" s="88" t="e">
        <f t="shared" si="252"/>
        <v>#REF!</v>
      </c>
      <c r="S673" s="88" t="e">
        <f t="shared" si="252"/>
        <v>#REF!</v>
      </c>
      <c r="T673" s="88" t="e">
        <f t="shared" si="252"/>
        <v>#REF!</v>
      </c>
      <c r="U673" s="88" t="e">
        <f t="shared" si="252"/>
        <v>#REF!</v>
      </c>
      <c r="V673" s="88" t="e">
        <f t="shared" si="252"/>
        <v>#REF!</v>
      </c>
      <c r="W673" s="88" t="e">
        <f t="shared" si="252"/>
        <v>#REF!</v>
      </c>
      <c r="X673" s="88" t="e">
        <f t="shared" si="252"/>
        <v>#REF!</v>
      </c>
      <c r="Y673" s="88" t="e">
        <f t="shared" si="252"/>
        <v>#REF!</v>
      </c>
      <c r="Z673" s="88" t="e">
        <f t="shared" si="252"/>
        <v>#REF!</v>
      </c>
      <c r="AA673" s="88" t="e">
        <f t="shared" si="252"/>
        <v>#REF!</v>
      </c>
      <c r="AB673" s="88" t="e">
        <f t="shared" si="252"/>
        <v>#REF!</v>
      </c>
      <c r="AC673" s="88" t="e">
        <f t="shared" si="252"/>
        <v>#REF!</v>
      </c>
      <c r="AD673" s="88" t="e">
        <f t="shared" si="252"/>
        <v>#REF!</v>
      </c>
      <c r="AE673" s="88" t="e">
        <f t="shared" si="252"/>
        <v>#REF!</v>
      </c>
      <c r="AF673" s="88" t="e">
        <f t="shared" si="252"/>
        <v>#REF!</v>
      </c>
      <c r="AG673" s="88" t="e">
        <f t="shared" si="252"/>
        <v>#REF!</v>
      </c>
      <c r="AH673" s="88" t="e">
        <f t="shared" si="252"/>
        <v>#REF!</v>
      </c>
      <c r="AI673" s="88" t="e">
        <f t="shared" si="252"/>
        <v>#REF!</v>
      </c>
      <c r="AJ673" s="88" t="e">
        <f t="shared" si="252"/>
        <v>#REF!</v>
      </c>
      <c r="AK673" s="88" t="e">
        <f t="shared" si="252"/>
        <v>#REF!</v>
      </c>
      <c r="AL673" s="88" t="e">
        <f t="shared" si="252"/>
        <v>#REF!</v>
      </c>
      <c r="AM673" s="88" t="e">
        <f t="shared" si="252"/>
        <v>#REF!</v>
      </c>
    </row>
    <row r="674" ht="20.25" hidden="1" customHeight="1" spans="3:39">
      <c r="C674" s="251"/>
      <c r="D674" s="251"/>
      <c r="E674" s="261"/>
      <c r="F674" s="261"/>
      <c r="G674" s="262"/>
      <c r="H674" s="264" t="s">
        <v>110</v>
      </c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  <c r="AA674" s="88"/>
      <c r="AB674" s="88"/>
      <c r="AC674" s="88"/>
      <c r="AD674" s="88"/>
      <c r="AE674" s="88"/>
      <c r="AF674" s="88"/>
      <c r="AG674" s="88"/>
      <c r="AH674" s="88"/>
      <c r="AI674" s="88"/>
      <c r="AJ674" s="88"/>
      <c r="AK674" s="88"/>
      <c r="AL674" s="88"/>
      <c r="AM674" s="88"/>
    </row>
    <row r="675" ht="20.25" hidden="1" customHeight="1" spans="3:39">
      <c r="C675" s="251"/>
      <c r="D675" s="251"/>
      <c r="E675" s="261"/>
      <c r="F675" s="261"/>
      <c r="G675" s="262"/>
      <c r="H675" s="264" t="s">
        <v>111</v>
      </c>
      <c r="I675" s="90" t="e">
        <f t="shared" ref="I675:AM675" si="253">I673/I671</f>
        <v>#REF!</v>
      </c>
      <c r="J675" s="90" t="e">
        <f t="shared" si="253"/>
        <v>#REF!</v>
      </c>
      <c r="K675" s="90" t="e">
        <f t="shared" si="253"/>
        <v>#REF!</v>
      </c>
      <c r="L675" s="90" t="e">
        <f t="shared" si="253"/>
        <v>#REF!</v>
      </c>
      <c r="M675" s="90" t="e">
        <f t="shared" si="253"/>
        <v>#REF!</v>
      </c>
      <c r="N675" s="90" t="e">
        <f t="shared" si="253"/>
        <v>#REF!</v>
      </c>
      <c r="O675" s="90" t="e">
        <f t="shared" si="253"/>
        <v>#REF!</v>
      </c>
      <c r="P675" s="90" t="e">
        <f t="shared" si="253"/>
        <v>#REF!</v>
      </c>
      <c r="Q675" s="90" t="e">
        <f t="shared" si="253"/>
        <v>#REF!</v>
      </c>
      <c r="R675" s="90" t="e">
        <f t="shared" si="253"/>
        <v>#REF!</v>
      </c>
      <c r="S675" s="90" t="e">
        <f t="shared" si="253"/>
        <v>#REF!</v>
      </c>
      <c r="T675" s="90" t="e">
        <f t="shared" si="253"/>
        <v>#REF!</v>
      </c>
      <c r="U675" s="90" t="e">
        <f t="shared" si="253"/>
        <v>#REF!</v>
      </c>
      <c r="V675" s="90" t="e">
        <f t="shared" si="253"/>
        <v>#REF!</v>
      </c>
      <c r="W675" s="90" t="e">
        <f t="shared" si="253"/>
        <v>#REF!</v>
      </c>
      <c r="X675" s="90" t="e">
        <f t="shared" si="253"/>
        <v>#REF!</v>
      </c>
      <c r="Y675" s="90" t="e">
        <f t="shared" si="253"/>
        <v>#REF!</v>
      </c>
      <c r="Z675" s="90" t="e">
        <f t="shared" si="253"/>
        <v>#REF!</v>
      </c>
      <c r="AA675" s="90" t="e">
        <f t="shared" si="253"/>
        <v>#REF!</v>
      </c>
      <c r="AB675" s="90" t="e">
        <f t="shared" si="253"/>
        <v>#REF!</v>
      </c>
      <c r="AC675" s="90" t="e">
        <f t="shared" si="253"/>
        <v>#REF!</v>
      </c>
      <c r="AD675" s="90" t="e">
        <f t="shared" si="253"/>
        <v>#REF!</v>
      </c>
      <c r="AE675" s="90" t="e">
        <f t="shared" si="253"/>
        <v>#REF!</v>
      </c>
      <c r="AF675" s="90" t="e">
        <f t="shared" si="253"/>
        <v>#REF!</v>
      </c>
      <c r="AG675" s="90" t="e">
        <f t="shared" si="253"/>
        <v>#REF!</v>
      </c>
      <c r="AH675" s="90" t="e">
        <f t="shared" si="253"/>
        <v>#REF!</v>
      </c>
      <c r="AI675" s="90" t="e">
        <f t="shared" si="253"/>
        <v>#REF!</v>
      </c>
      <c r="AJ675" s="90" t="e">
        <f t="shared" si="253"/>
        <v>#REF!</v>
      </c>
      <c r="AK675" s="90" t="e">
        <f t="shared" si="253"/>
        <v>#REF!</v>
      </c>
      <c r="AL675" s="90" t="e">
        <f t="shared" si="253"/>
        <v>#REF!</v>
      </c>
      <c r="AM675" s="90" t="e">
        <f t="shared" si="253"/>
        <v>#REF!</v>
      </c>
    </row>
    <row r="676" ht="20.25" hidden="1" customHeight="1" spans="3:39">
      <c r="C676" s="251"/>
      <c r="D676" s="251"/>
      <c r="E676" s="261"/>
      <c r="F676" s="261"/>
      <c r="G676" s="259" t="s">
        <v>118</v>
      </c>
      <c r="H676" s="264" t="s">
        <v>107</v>
      </c>
      <c r="I676" s="88">
        <f t="shared" ref="I676:AM676" si="254">I496+I526+I556+I586+I616+I646</f>
        <v>99637</v>
      </c>
      <c r="J676" s="88">
        <f t="shared" si="254"/>
        <v>3983</v>
      </c>
      <c r="K676" s="88">
        <f t="shared" si="254"/>
        <v>3826</v>
      </c>
      <c r="L676" s="88">
        <f t="shared" si="254"/>
        <v>3826</v>
      </c>
      <c r="M676" s="88">
        <f t="shared" si="254"/>
        <v>2991</v>
      </c>
      <c r="N676" s="88">
        <f t="shared" si="254"/>
        <v>2762</v>
      </c>
      <c r="O676" s="88">
        <f t="shared" si="254"/>
        <v>2497</v>
      </c>
      <c r="P676" s="88">
        <f t="shared" si="254"/>
        <v>2696</v>
      </c>
      <c r="Q676" s="88">
        <f t="shared" si="254"/>
        <v>2686</v>
      </c>
      <c r="R676" s="88">
        <f t="shared" si="254"/>
        <v>2773</v>
      </c>
      <c r="S676" s="88">
        <f t="shared" si="254"/>
        <v>2850</v>
      </c>
      <c r="T676" s="88">
        <f t="shared" si="254"/>
        <v>2850</v>
      </c>
      <c r="U676" s="88">
        <f t="shared" si="254"/>
        <v>2762</v>
      </c>
      <c r="V676" s="88">
        <f t="shared" si="254"/>
        <v>2838</v>
      </c>
      <c r="W676" s="88">
        <f t="shared" si="254"/>
        <v>3639</v>
      </c>
      <c r="X676" s="88">
        <f t="shared" si="254"/>
        <v>3702</v>
      </c>
      <c r="Y676" s="88">
        <f t="shared" si="254"/>
        <v>4580</v>
      </c>
      <c r="Z676" s="88">
        <f t="shared" si="254"/>
        <v>5732</v>
      </c>
      <c r="AA676" s="88">
        <f t="shared" si="254"/>
        <v>11991</v>
      </c>
      <c r="AB676" s="88">
        <f t="shared" si="254"/>
        <v>4639</v>
      </c>
      <c r="AC676" s="88">
        <f t="shared" si="254"/>
        <v>3814</v>
      </c>
      <c r="AD676" s="88">
        <f t="shared" si="254"/>
        <v>2168</v>
      </c>
      <c r="AE676" s="88">
        <f t="shared" si="254"/>
        <v>2168</v>
      </c>
      <c r="AF676" s="88">
        <f t="shared" si="254"/>
        <v>2179</v>
      </c>
      <c r="AG676" s="88">
        <f t="shared" si="254"/>
        <v>2268</v>
      </c>
      <c r="AH676" s="88">
        <f t="shared" si="254"/>
        <v>2179</v>
      </c>
      <c r="AI676" s="88">
        <f t="shared" si="254"/>
        <v>2356</v>
      </c>
      <c r="AJ676" s="88">
        <f t="shared" si="254"/>
        <v>2015</v>
      </c>
      <c r="AK676" s="88">
        <f t="shared" si="254"/>
        <v>2303</v>
      </c>
      <c r="AL676" s="88">
        <f t="shared" si="254"/>
        <v>2279</v>
      </c>
      <c r="AM676" s="88">
        <f t="shared" si="254"/>
        <v>2279</v>
      </c>
    </row>
    <row r="677" ht="20.25" hidden="1" customHeight="1" spans="3:39">
      <c r="C677" s="251"/>
      <c r="D677" s="251"/>
      <c r="E677" s="261"/>
      <c r="F677" s="261"/>
      <c r="G677" s="262"/>
      <c r="H677" s="264" t="s">
        <v>108</v>
      </c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  <c r="AA677" s="88"/>
      <c r="AB677" s="88"/>
      <c r="AC677" s="88"/>
      <c r="AD677" s="88"/>
      <c r="AE677" s="88"/>
      <c r="AF677" s="88"/>
      <c r="AG677" s="88"/>
      <c r="AH677" s="88"/>
      <c r="AI677" s="88"/>
      <c r="AJ677" s="88"/>
      <c r="AK677" s="88"/>
      <c r="AL677" s="88"/>
      <c r="AM677" s="88"/>
    </row>
    <row r="678" ht="20.25" hidden="1" customHeight="1" spans="3:39">
      <c r="C678" s="251"/>
      <c r="D678" s="251"/>
      <c r="E678" s="261"/>
      <c r="F678" s="261"/>
      <c r="G678" s="262"/>
      <c r="H678" s="264" t="s">
        <v>109</v>
      </c>
      <c r="I678" s="88" t="e">
        <f t="shared" ref="I678:AM678" si="255">I498+I528+I558+I588+I618+I648</f>
        <v>#REF!</v>
      </c>
      <c r="J678" s="88" t="e">
        <f t="shared" si="255"/>
        <v>#REF!</v>
      </c>
      <c r="K678" s="88" t="e">
        <f t="shared" si="255"/>
        <v>#REF!</v>
      </c>
      <c r="L678" s="88" t="e">
        <f t="shared" si="255"/>
        <v>#REF!</v>
      </c>
      <c r="M678" s="88" t="e">
        <f t="shared" si="255"/>
        <v>#REF!</v>
      </c>
      <c r="N678" s="88" t="e">
        <f t="shared" si="255"/>
        <v>#REF!</v>
      </c>
      <c r="O678" s="88" t="e">
        <f t="shared" si="255"/>
        <v>#REF!</v>
      </c>
      <c r="P678" s="88" t="e">
        <f t="shared" si="255"/>
        <v>#REF!</v>
      </c>
      <c r="Q678" s="88" t="e">
        <f t="shared" si="255"/>
        <v>#REF!</v>
      </c>
      <c r="R678" s="88" t="e">
        <f t="shared" si="255"/>
        <v>#REF!</v>
      </c>
      <c r="S678" s="88" t="e">
        <f t="shared" si="255"/>
        <v>#REF!</v>
      </c>
      <c r="T678" s="88" t="e">
        <f t="shared" si="255"/>
        <v>#REF!</v>
      </c>
      <c r="U678" s="88" t="e">
        <f t="shared" si="255"/>
        <v>#REF!</v>
      </c>
      <c r="V678" s="88" t="e">
        <f t="shared" si="255"/>
        <v>#REF!</v>
      </c>
      <c r="W678" s="88" t="e">
        <f t="shared" si="255"/>
        <v>#REF!</v>
      </c>
      <c r="X678" s="88" t="e">
        <f t="shared" si="255"/>
        <v>#REF!</v>
      </c>
      <c r="Y678" s="88" t="e">
        <f t="shared" si="255"/>
        <v>#REF!</v>
      </c>
      <c r="Z678" s="88" t="e">
        <f t="shared" si="255"/>
        <v>#REF!</v>
      </c>
      <c r="AA678" s="88" t="e">
        <f t="shared" si="255"/>
        <v>#REF!</v>
      </c>
      <c r="AB678" s="88" t="e">
        <f t="shared" si="255"/>
        <v>#REF!</v>
      </c>
      <c r="AC678" s="88" t="e">
        <f t="shared" si="255"/>
        <v>#REF!</v>
      </c>
      <c r="AD678" s="88" t="e">
        <f t="shared" si="255"/>
        <v>#REF!</v>
      </c>
      <c r="AE678" s="88" t="e">
        <f t="shared" si="255"/>
        <v>#REF!</v>
      </c>
      <c r="AF678" s="88" t="e">
        <f t="shared" si="255"/>
        <v>#REF!</v>
      </c>
      <c r="AG678" s="88" t="e">
        <f t="shared" si="255"/>
        <v>#REF!</v>
      </c>
      <c r="AH678" s="88" t="e">
        <f t="shared" si="255"/>
        <v>#REF!</v>
      </c>
      <c r="AI678" s="88" t="e">
        <f t="shared" si="255"/>
        <v>#REF!</v>
      </c>
      <c r="AJ678" s="88" t="e">
        <f t="shared" si="255"/>
        <v>#REF!</v>
      </c>
      <c r="AK678" s="88" t="e">
        <f t="shared" si="255"/>
        <v>#REF!</v>
      </c>
      <c r="AL678" s="88" t="e">
        <f t="shared" si="255"/>
        <v>#REF!</v>
      </c>
      <c r="AM678" s="88" t="e">
        <f t="shared" si="255"/>
        <v>#REF!</v>
      </c>
    </row>
    <row r="679" ht="20.25" hidden="1" customHeight="1" spans="3:39">
      <c r="C679" s="251"/>
      <c r="D679" s="251"/>
      <c r="E679" s="261"/>
      <c r="F679" s="261"/>
      <c r="G679" s="262"/>
      <c r="H679" s="264" t="s">
        <v>110</v>
      </c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  <c r="AA679" s="88"/>
      <c r="AB679" s="88"/>
      <c r="AC679" s="88"/>
      <c r="AD679" s="88"/>
      <c r="AE679" s="88"/>
      <c r="AF679" s="88"/>
      <c r="AG679" s="88"/>
      <c r="AH679" s="88"/>
      <c r="AI679" s="88"/>
      <c r="AJ679" s="88"/>
      <c r="AK679" s="88"/>
      <c r="AL679" s="88"/>
      <c r="AM679" s="88"/>
    </row>
    <row r="680" ht="20.25" hidden="1" customHeight="1" spans="3:39">
      <c r="C680" s="251"/>
      <c r="D680" s="251"/>
      <c r="E680" s="261"/>
      <c r="F680" s="261"/>
      <c r="G680" s="262"/>
      <c r="H680" s="264" t="s">
        <v>111</v>
      </c>
      <c r="I680" s="90" t="e">
        <f t="shared" ref="I680:AM680" si="256">I678/I676</f>
        <v>#REF!</v>
      </c>
      <c r="J680" s="90" t="e">
        <f t="shared" si="256"/>
        <v>#REF!</v>
      </c>
      <c r="K680" s="90" t="e">
        <f t="shared" si="256"/>
        <v>#REF!</v>
      </c>
      <c r="L680" s="90" t="e">
        <f t="shared" si="256"/>
        <v>#REF!</v>
      </c>
      <c r="M680" s="90" t="e">
        <f t="shared" si="256"/>
        <v>#REF!</v>
      </c>
      <c r="N680" s="90" t="e">
        <f t="shared" si="256"/>
        <v>#REF!</v>
      </c>
      <c r="O680" s="90" t="e">
        <f t="shared" si="256"/>
        <v>#REF!</v>
      </c>
      <c r="P680" s="90" t="e">
        <f t="shared" si="256"/>
        <v>#REF!</v>
      </c>
      <c r="Q680" s="90" t="e">
        <f t="shared" si="256"/>
        <v>#REF!</v>
      </c>
      <c r="R680" s="90" t="e">
        <f t="shared" si="256"/>
        <v>#REF!</v>
      </c>
      <c r="S680" s="90" t="e">
        <f t="shared" si="256"/>
        <v>#REF!</v>
      </c>
      <c r="T680" s="90" t="e">
        <f t="shared" si="256"/>
        <v>#REF!</v>
      </c>
      <c r="U680" s="90" t="e">
        <f t="shared" si="256"/>
        <v>#REF!</v>
      </c>
      <c r="V680" s="90" t="e">
        <f t="shared" si="256"/>
        <v>#REF!</v>
      </c>
      <c r="W680" s="90" t="e">
        <f t="shared" si="256"/>
        <v>#REF!</v>
      </c>
      <c r="X680" s="90" t="e">
        <f t="shared" si="256"/>
        <v>#REF!</v>
      </c>
      <c r="Y680" s="90" t="e">
        <f t="shared" si="256"/>
        <v>#REF!</v>
      </c>
      <c r="Z680" s="90" t="e">
        <f t="shared" si="256"/>
        <v>#REF!</v>
      </c>
      <c r="AA680" s="90" t="e">
        <f t="shared" si="256"/>
        <v>#REF!</v>
      </c>
      <c r="AB680" s="90" t="e">
        <f t="shared" si="256"/>
        <v>#REF!</v>
      </c>
      <c r="AC680" s="90" t="e">
        <f t="shared" si="256"/>
        <v>#REF!</v>
      </c>
      <c r="AD680" s="90" t="e">
        <f t="shared" si="256"/>
        <v>#REF!</v>
      </c>
      <c r="AE680" s="90" t="e">
        <f t="shared" si="256"/>
        <v>#REF!</v>
      </c>
      <c r="AF680" s="90" t="e">
        <f t="shared" si="256"/>
        <v>#REF!</v>
      </c>
      <c r="AG680" s="90" t="e">
        <f t="shared" si="256"/>
        <v>#REF!</v>
      </c>
      <c r="AH680" s="90" t="e">
        <f t="shared" si="256"/>
        <v>#REF!</v>
      </c>
      <c r="AI680" s="90" t="e">
        <f t="shared" si="256"/>
        <v>#REF!</v>
      </c>
      <c r="AJ680" s="90" t="e">
        <f t="shared" si="256"/>
        <v>#REF!</v>
      </c>
      <c r="AK680" s="90" t="e">
        <f t="shared" si="256"/>
        <v>#REF!</v>
      </c>
      <c r="AL680" s="90" t="e">
        <f t="shared" si="256"/>
        <v>#REF!</v>
      </c>
      <c r="AM680" s="90" t="e">
        <f t="shared" si="256"/>
        <v>#REF!</v>
      </c>
    </row>
    <row r="681" ht="20.25" hidden="1" customHeight="1" spans="3:39">
      <c r="C681" s="251"/>
      <c r="D681" s="251"/>
      <c r="E681" s="261"/>
      <c r="F681" s="261"/>
      <c r="G681" s="259" t="s">
        <v>119</v>
      </c>
      <c r="H681" s="264" t="s">
        <v>107</v>
      </c>
      <c r="I681" s="88">
        <f t="shared" ref="I681:AM681" si="257">I501+I531+I561+I591+I621+I651</f>
        <v>6526</v>
      </c>
      <c r="J681" s="88">
        <f t="shared" si="257"/>
        <v>261</v>
      </c>
      <c r="K681" s="88">
        <f t="shared" si="257"/>
        <v>250</v>
      </c>
      <c r="L681" s="88">
        <f t="shared" si="257"/>
        <v>250</v>
      </c>
      <c r="M681" s="88">
        <f t="shared" si="257"/>
        <v>196</v>
      </c>
      <c r="N681" s="88">
        <f t="shared" si="257"/>
        <v>181</v>
      </c>
      <c r="O681" s="88">
        <f t="shared" si="257"/>
        <v>163</v>
      </c>
      <c r="P681" s="88">
        <f t="shared" si="257"/>
        <v>176</v>
      </c>
      <c r="Q681" s="88">
        <f t="shared" si="257"/>
        <v>176</v>
      </c>
      <c r="R681" s="88">
        <f t="shared" si="257"/>
        <v>181</v>
      </c>
      <c r="S681" s="88">
        <f t="shared" si="257"/>
        <v>186</v>
      </c>
      <c r="T681" s="88">
        <f t="shared" si="257"/>
        <v>186</v>
      </c>
      <c r="U681" s="88">
        <f t="shared" si="257"/>
        <v>181</v>
      </c>
      <c r="V681" s="88">
        <f t="shared" si="257"/>
        <v>186</v>
      </c>
      <c r="W681" s="88">
        <f t="shared" si="257"/>
        <v>238</v>
      </c>
      <c r="X681" s="88">
        <f t="shared" si="257"/>
        <v>242</v>
      </c>
      <c r="Y681" s="88">
        <f t="shared" si="257"/>
        <v>299</v>
      </c>
      <c r="Z681" s="88">
        <f t="shared" si="257"/>
        <v>375</v>
      </c>
      <c r="AA681" s="88">
        <f t="shared" si="257"/>
        <v>795</v>
      </c>
      <c r="AB681" s="88">
        <f t="shared" si="257"/>
        <v>303</v>
      </c>
      <c r="AC681" s="88">
        <f t="shared" si="257"/>
        <v>249</v>
      </c>
      <c r="AD681" s="88">
        <f t="shared" si="257"/>
        <v>142</v>
      </c>
      <c r="AE681" s="88">
        <f t="shared" si="257"/>
        <v>142</v>
      </c>
      <c r="AF681" s="88">
        <f t="shared" si="257"/>
        <v>143</v>
      </c>
      <c r="AG681" s="88">
        <f t="shared" si="257"/>
        <v>148</v>
      </c>
      <c r="AH681" s="88">
        <f t="shared" si="257"/>
        <v>143</v>
      </c>
      <c r="AI681" s="88">
        <f t="shared" si="257"/>
        <v>154</v>
      </c>
      <c r="AJ681" s="88">
        <f t="shared" si="257"/>
        <v>132</v>
      </c>
      <c r="AK681" s="88">
        <f t="shared" si="257"/>
        <v>151</v>
      </c>
      <c r="AL681" s="88">
        <f t="shared" si="257"/>
        <v>149</v>
      </c>
      <c r="AM681" s="88">
        <f t="shared" si="257"/>
        <v>149</v>
      </c>
    </row>
    <row r="682" ht="20.25" hidden="1" customHeight="1" spans="3:39">
      <c r="C682" s="251"/>
      <c r="D682" s="251"/>
      <c r="E682" s="261"/>
      <c r="F682" s="261"/>
      <c r="G682" s="262"/>
      <c r="H682" s="264" t="s">
        <v>108</v>
      </c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  <c r="AA682" s="88"/>
      <c r="AB682" s="88"/>
      <c r="AC682" s="88"/>
      <c r="AD682" s="88"/>
      <c r="AE682" s="88"/>
      <c r="AF682" s="88"/>
      <c r="AG682" s="88"/>
      <c r="AH682" s="88"/>
      <c r="AI682" s="88"/>
      <c r="AJ682" s="88"/>
      <c r="AK682" s="88"/>
      <c r="AL682" s="88"/>
      <c r="AM682" s="88"/>
    </row>
    <row r="683" ht="20.25" hidden="1" customHeight="1" spans="3:39">
      <c r="C683" s="251"/>
      <c r="D683" s="251"/>
      <c r="E683" s="261"/>
      <c r="F683" s="261"/>
      <c r="G683" s="262"/>
      <c r="H683" s="264" t="s">
        <v>109</v>
      </c>
      <c r="I683" s="88" t="e">
        <f t="shared" ref="I683:AM683" si="258">I503+I533+I563+I593+I623+I653</f>
        <v>#REF!</v>
      </c>
      <c r="J683" s="88" t="e">
        <f t="shared" si="258"/>
        <v>#REF!</v>
      </c>
      <c r="K683" s="88" t="e">
        <f t="shared" si="258"/>
        <v>#REF!</v>
      </c>
      <c r="L683" s="88" t="e">
        <f t="shared" si="258"/>
        <v>#REF!</v>
      </c>
      <c r="M683" s="88" t="e">
        <f t="shared" si="258"/>
        <v>#REF!</v>
      </c>
      <c r="N683" s="88" t="e">
        <f t="shared" si="258"/>
        <v>#REF!</v>
      </c>
      <c r="O683" s="88" t="e">
        <f t="shared" si="258"/>
        <v>#REF!</v>
      </c>
      <c r="P683" s="88" t="e">
        <f t="shared" si="258"/>
        <v>#REF!</v>
      </c>
      <c r="Q683" s="88" t="e">
        <f t="shared" si="258"/>
        <v>#REF!</v>
      </c>
      <c r="R683" s="88" t="e">
        <f t="shared" si="258"/>
        <v>#REF!</v>
      </c>
      <c r="S683" s="88" t="e">
        <f t="shared" si="258"/>
        <v>#REF!</v>
      </c>
      <c r="T683" s="88" t="e">
        <f t="shared" si="258"/>
        <v>#REF!</v>
      </c>
      <c r="U683" s="88" t="e">
        <f t="shared" si="258"/>
        <v>#REF!</v>
      </c>
      <c r="V683" s="88" t="e">
        <f t="shared" si="258"/>
        <v>#REF!</v>
      </c>
      <c r="W683" s="88" t="e">
        <f t="shared" si="258"/>
        <v>#REF!</v>
      </c>
      <c r="X683" s="88" t="e">
        <f t="shared" si="258"/>
        <v>#REF!</v>
      </c>
      <c r="Y683" s="88" t="e">
        <f t="shared" si="258"/>
        <v>#REF!</v>
      </c>
      <c r="Z683" s="88" t="e">
        <f t="shared" si="258"/>
        <v>#REF!</v>
      </c>
      <c r="AA683" s="88" t="e">
        <f t="shared" si="258"/>
        <v>#REF!</v>
      </c>
      <c r="AB683" s="88" t="e">
        <f t="shared" si="258"/>
        <v>#REF!</v>
      </c>
      <c r="AC683" s="88" t="e">
        <f t="shared" si="258"/>
        <v>#REF!</v>
      </c>
      <c r="AD683" s="88" t="e">
        <f t="shared" si="258"/>
        <v>#REF!</v>
      </c>
      <c r="AE683" s="88" t="e">
        <f t="shared" si="258"/>
        <v>#REF!</v>
      </c>
      <c r="AF683" s="88" t="e">
        <f t="shared" si="258"/>
        <v>#REF!</v>
      </c>
      <c r="AG683" s="88" t="e">
        <f t="shared" si="258"/>
        <v>#REF!</v>
      </c>
      <c r="AH683" s="88" t="e">
        <f t="shared" si="258"/>
        <v>#REF!</v>
      </c>
      <c r="AI683" s="88" t="e">
        <f t="shared" si="258"/>
        <v>#REF!</v>
      </c>
      <c r="AJ683" s="88" t="e">
        <f t="shared" si="258"/>
        <v>#REF!</v>
      </c>
      <c r="AK683" s="88" t="e">
        <f t="shared" si="258"/>
        <v>#REF!</v>
      </c>
      <c r="AL683" s="88" t="e">
        <f t="shared" si="258"/>
        <v>#REF!</v>
      </c>
      <c r="AM683" s="88" t="e">
        <f t="shared" si="258"/>
        <v>#REF!</v>
      </c>
    </row>
    <row r="684" ht="20.25" hidden="1" customHeight="1" spans="3:39">
      <c r="C684" s="251"/>
      <c r="D684" s="251"/>
      <c r="E684" s="261"/>
      <c r="F684" s="261"/>
      <c r="G684" s="262"/>
      <c r="H684" s="264" t="s">
        <v>110</v>
      </c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  <c r="AA684" s="88"/>
      <c r="AB684" s="88"/>
      <c r="AC684" s="88"/>
      <c r="AD684" s="88"/>
      <c r="AE684" s="88"/>
      <c r="AF684" s="88"/>
      <c r="AG684" s="88"/>
      <c r="AH684" s="88"/>
      <c r="AI684" s="88"/>
      <c r="AJ684" s="88"/>
      <c r="AK684" s="88"/>
      <c r="AL684" s="88"/>
      <c r="AM684" s="88"/>
    </row>
    <row r="685" ht="20.25" hidden="1" customHeight="1" spans="3:39">
      <c r="C685" s="251"/>
      <c r="D685" s="251"/>
      <c r="E685" s="261"/>
      <c r="F685" s="261"/>
      <c r="G685" s="262"/>
      <c r="H685" s="264" t="s">
        <v>111</v>
      </c>
      <c r="I685" s="90" t="e">
        <f t="shared" ref="I685:AM685" si="259">I683/I681</f>
        <v>#REF!</v>
      </c>
      <c r="J685" s="90" t="e">
        <f t="shared" si="259"/>
        <v>#REF!</v>
      </c>
      <c r="K685" s="90" t="e">
        <f t="shared" si="259"/>
        <v>#REF!</v>
      </c>
      <c r="L685" s="90" t="e">
        <f t="shared" si="259"/>
        <v>#REF!</v>
      </c>
      <c r="M685" s="90" t="e">
        <f t="shared" si="259"/>
        <v>#REF!</v>
      </c>
      <c r="N685" s="90" t="e">
        <f t="shared" si="259"/>
        <v>#REF!</v>
      </c>
      <c r="O685" s="90" t="e">
        <f t="shared" si="259"/>
        <v>#REF!</v>
      </c>
      <c r="P685" s="90" t="e">
        <f t="shared" si="259"/>
        <v>#REF!</v>
      </c>
      <c r="Q685" s="90" t="e">
        <f t="shared" si="259"/>
        <v>#REF!</v>
      </c>
      <c r="R685" s="90" t="e">
        <f t="shared" si="259"/>
        <v>#REF!</v>
      </c>
      <c r="S685" s="90" t="e">
        <f t="shared" si="259"/>
        <v>#REF!</v>
      </c>
      <c r="T685" s="90" t="e">
        <f t="shared" si="259"/>
        <v>#REF!</v>
      </c>
      <c r="U685" s="90" t="e">
        <f t="shared" si="259"/>
        <v>#REF!</v>
      </c>
      <c r="V685" s="90" t="e">
        <f t="shared" si="259"/>
        <v>#REF!</v>
      </c>
      <c r="W685" s="90" t="e">
        <f t="shared" si="259"/>
        <v>#REF!</v>
      </c>
      <c r="X685" s="90" t="e">
        <f t="shared" si="259"/>
        <v>#REF!</v>
      </c>
      <c r="Y685" s="90" t="e">
        <f t="shared" si="259"/>
        <v>#REF!</v>
      </c>
      <c r="Z685" s="90" t="e">
        <f t="shared" si="259"/>
        <v>#REF!</v>
      </c>
      <c r="AA685" s="90" t="e">
        <f t="shared" si="259"/>
        <v>#REF!</v>
      </c>
      <c r="AB685" s="90" t="e">
        <f t="shared" si="259"/>
        <v>#REF!</v>
      </c>
      <c r="AC685" s="90" t="e">
        <f t="shared" si="259"/>
        <v>#REF!</v>
      </c>
      <c r="AD685" s="90" t="e">
        <f t="shared" si="259"/>
        <v>#REF!</v>
      </c>
      <c r="AE685" s="90" t="e">
        <f t="shared" si="259"/>
        <v>#REF!</v>
      </c>
      <c r="AF685" s="90" t="e">
        <f t="shared" si="259"/>
        <v>#REF!</v>
      </c>
      <c r="AG685" s="90" t="e">
        <f t="shared" si="259"/>
        <v>#REF!</v>
      </c>
      <c r="AH685" s="90" t="e">
        <f t="shared" si="259"/>
        <v>#REF!</v>
      </c>
      <c r="AI685" s="90" t="e">
        <f t="shared" si="259"/>
        <v>#REF!</v>
      </c>
      <c r="AJ685" s="90" t="e">
        <f t="shared" si="259"/>
        <v>#REF!</v>
      </c>
      <c r="AK685" s="90" t="e">
        <f t="shared" si="259"/>
        <v>#REF!</v>
      </c>
      <c r="AL685" s="90" t="e">
        <f t="shared" si="259"/>
        <v>#REF!</v>
      </c>
      <c r="AM685" s="90" t="e">
        <f t="shared" si="259"/>
        <v>#REF!</v>
      </c>
    </row>
    <row r="686" ht="20.25" hidden="1" customHeight="1" spans="3:39">
      <c r="C686" s="251"/>
      <c r="D686" s="251"/>
      <c r="E686" s="261"/>
      <c r="F686" s="261"/>
      <c r="G686" s="263" t="s">
        <v>94</v>
      </c>
      <c r="H686" s="264" t="s">
        <v>107</v>
      </c>
      <c r="I686" s="88">
        <f t="shared" ref="I686:AM686" si="260">I681+I676+I671+I666+I661</f>
        <v>440657</v>
      </c>
      <c r="J686" s="88">
        <f t="shared" si="260"/>
        <v>17620</v>
      </c>
      <c r="K686" s="88">
        <f t="shared" si="260"/>
        <v>16923</v>
      </c>
      <c r="L686" s="88">
        <f t="shared" si="260"/>
        <v>16923</v>
      </c>
      <c r="M686" s="88">
        <f t="shared" si="260"/>
        <v>13230</v>
      </c>
      <c r="N686" s="88">
        <f t="shared" si="260"/>
        <v>12215</v>
      </c>
      <c r="O686" s="88">
        <f t="shared" si="260"/>
        <v>11044</v>
      </c>
      <c r="P686" s="88">
        <f t="shared" si="260"/>
        <v>11925</v>
      </c>
      <c r="Q686" s="88">
        <f t="shared" si="260"/>
        <v>11878</v>
      </c>
      <c r="R686" s="88">
        <f t="shared" si="260"/>
        <v>12265</v>
      </c>
      <c r="S686" s="88">
        <f t="shared" si="260"/>
        <v>12603</v>
      </c>
      <c r="T686" s="88">
        <f t="shared" si="260"/>
        <v>12603</v>
      </c>
      <c r="U686" s="88">
        <f t="shared" si="260"/>
        <v>12215</v>
      </c>
      <c r="V686" s="88">
        <f t="shared" si="260"/>
        <v>12553</v>
      </c>
      <c r="W686" s="88">
        <f t="shared" si="260"/>
        <v>16091</v>
      </c>
      <c r="X686" s="88">
        <f t="shared" si="260"/>
        <v>16374</v>
      </c>
      <c r="Y686" s="88">
        <f t="shared" si="260"/>
        <v>20254</v>
      </c>
      <c r="Z686" s="88">
        <f t="shared" si="260"/>
        <v>25347</v>
      </c>
      <c r="AA686" s="88">
        <f t="shared" si="260"/>
        <v>53063</v>
      </c>
      <c r="AB686" s="88">
        <f t="shared" si="260"/>
        <v>20513</v>
      </c>
      <c r="AC686" s="88">
        <f t="shared" si="260"/>
        <v>16870</v>
      </c>
      <c r="AD686" s="88">
        <f t="shared" si="260"/>
        <v>9587</v>
      </c>
      <c r="AE686" s="88">
        <f t="shared" si="260"/>
        <v>9587</v>
      </c>
      <c r="AF686" s="88">
        <f t="shared" si="260"/>
        <v>9638</v>
      </c>
      <c r="AG686" s="88">
        <f t="shared" si="260"/>
        <v>10028</v>
      </c>
      <c r="AH686" s="88">
        <f t="shared" si="260"/>
        <v>9638</v>
      </c>
      <c r="AI686" s="88">
        <f t="shared" si="260"/>
        <v>10418</v>
      </c>
      <c r="AJ686" s="88">
        <f t="shared" si="260"/>
        <v>8909</v>
      </c>
      <c r="AK686" s="88">
        <f t="shared" si="260"/>
        <v>10185</v>
      </c>
      <c r="AL686" s="88">
        <f t="shared" si="260"/>
        <v>10080</v>
      </c>
      <c r="AM686" s="88">
        <f t="shared" si="260"/>
        <v>10080</v>
      </c>
    </row>
    <row r="687" ht="20.25" hidden="1" customHeight="1" spans="3:39">
      <c r="C687" s="251"/>
      <c r="D687" s="251"/>
      <c r="E687" s="261"/>
      <c r="F687" s="261"/>
      <c r="G687" s="262"/>
      <c r="H687" s="264" t="s">
        <v>108</v>
      </c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  <c r="AA687" s="88"/>
      <c r="AB687" s="88"/>
      <c r="AC687" s="88"/>
      <c r="AD687" s="88"/>
      <c r="AE687" s="88"/>
      <c r="AF687" s="88"/>
      <c r="AG687" s="88"/>
      <c r="AH687" s="88"/>
      <c r="AI687" s="88"/>
      <c r="AJ687" s="88"/>
      <c r="AK687" s="88"/>
      <c r="AL687" s="88"/>
      <c r="AM687" s="88"/>
    </row>
    <row r="688" ht="20.25" hidden="1" customHeight="1" spans="3:39">
      <c r="C688" s="251"/>
      <c r="D688" s="251"/>
      <c r="E688" s="261"/>
      <c r="F688" s="261"/>
      <c r="G688" s="262"/>
      <c r="H688" s="264" t="s">
        <v>109</v>
      </c>
      <c r="I688" s="88" t="e">
        <f t="shared" ref="I688:AM688" si="261">I508+I538+I568+I598+I628+I658</f>
        <v>#REF!</v>
      </c>
      <c r="J688" s="88" t="e">
        <f t="shared" si="261"/>
        <v>#REF!</v>
      </c>
      <c r="K688" s="88" t="e">
        <f t="shared" si="261"/>
        <v>#REF!</v>
      </c>
      <c r="L688" s="88" t="e">
        <f t="shared" si="261"/>
        <v>#REF!</v>
      </c>
      <c r="M688" s="88" t="e">
        <f t="shared" si="261"/>
        <v>#REF!</v>
      </c>
      <c r="N688" s="88" t="e">
        <f t="shared" si="261"/>
        <v>#REF!</v>
      </c>
      <c r="O688" s="88" t="e">
        <f t="shared" si="261"/>
        <v>#REF!</v>
      </c>
      <c r="P688" s="88" t="e">
        <f t="shared" si="261"/>
        <v>#REF!</v>
      </c>
      <c r="Q688" s="88" t="e">
        <f t="shared" si="261"/>
        <v>#REF!</v>
      </c>
      <c r="R688" s="88" t="e">
        <f t="shared" si="261"/>
        <v>#REF!</v>
      </c>
      <c r="S688" s="88" t="e">
        <f t="shared" si="261"/>
        <v>#REF!</v>
      </c>
      <c r="T688" s="88" t="e">
        <f t="shared" si="261"/>
        <v>#REF!</v>
      </c>
      <c r="U688" s="88" t="e">
        <f t="shared" si="261"/>
        <v>#REF!</v>
      </c>
      <c r="V688" s="88" t="e">
        <f t="shared" si="261"/>
        <v>#REF!</v>
      </c>
      <c r="W688" s="88" t="e">
        <f t="shared" si="261"/>
        <v>#REF!</v>
      </c>
      <c r="X688" s="88" t="e">
        <f t="shared" si="261"/>
        <v>#REF!</v>
      </c>
      <c r="Y688" s="88" t="e">
        <f t="shared" si="261"/>
        <v>#REF!</v>
      </c>
      <c r="Z688" s="88" t="e">
        <f t="shared" si="261"/>
        <v>#REF!</v>
      </c>
      <c r="AA688" s="88" t="e">
        <f t="shared" si="261"/>
        <v>#REF!</v>
      </c>
      <c r="AB688" s="88" t="e">
        <f t="shared" si="261"/>
        <v>#REF!</v>
      </c>
      <c r="AC688" s="88" t="e">
        <f t="shared" si="261"/>
        <v>#REF!</v>
      </c>
      <c r="AD688" s="88" t="e">
        <f t="shared" si="261"/>
        <v>#REF!</v>
      </c>
      <c r="AE688" s="88" t="e">
        <f t="shared" si="261"/>
        <v>#REF!</v>
      </c>
      <c r="AF688" s="88" t="e">
        <f t="shared" si="261"/>
        <v>#REF!</v>
      </c>
      <c r="AG688" s="88" t="e">
        <f t="shared" si="261"/>
        <v>#REF!</v>
      </c>
      <c r="AH688" s="88" t="e">
        <f t="shared" si="261"/>
        <v>#REF!</v>
      </c>
      <c r="AI688" s="88" t="e">
        <f t="shared" si="261"/>
        <v>#REF!</v>
      </c>
      <c r="AJ688" s="88" t="e">
        <f t="shared" si="261"/>
        <v>#REF!</v>
      </c>
      <c r="AK688" s="88" t="e">
        <f t="shared" si="261"/>
        <v>#REF!</v>
      </c>
      <c r="AL688" s="88" t="e">
        <f t="shared" si="261"/>
        <v>#REF!</v>
      </c>
      <c r="AM688" s="88" t="e">
        <f t="shared" si="261"/>
        <v>#REF!</v>
      </c>
    </row>
    <row r="689" ht="20.25" hidden="1" customHeight="1" spans="3:39">
      <c r="C689" s="251"/>
      <c r="D689" s="251"/>
      <c r="E689" s="261"/>
      <c r="F689" s="261"/>
      <c r="G689" s="262"/>
      <c r="H689" s="264" t="s">
        <v>110</v>
      </c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  <c r="AA689" s="88"/>
      <c r="AB689" s="88"/>
      <c r="AC689" s="88"/>
      <c r="AD689" s="88"/>
      <c r="AE689" s="88"/>
      <c r="AF689" s="88"/>
      <c r="AG689" s="88"/>
      <c r="AH689" s="88"/>
      <c r="AI689" s="88"/>
      <c r="AJ689" s="88"/>
      <c r="AK689" s="88"/>
      <c r="AL689" s="88"/>
      <c r="AM689" s="88"/>
    </row>
    <row r="690" ht="20.25" hidden="1" customHeight="1" spans="3:39">
      <c r="C690" s="251"/>
      <c r="D690" s="251"/>
      <c r="E690" s="261"/>
      <c r="F690" s="261"/>
      <c r="G690" s="262"/>
      <c r="H690" s="264" t="s">
        <v>111</v>
      </c>
      <c r="I690" s="90" t="e">
        <f t="shared" ref="I690:AM690" si="262">I688/I686</f>
        <v>#REF!</v>
      </c>
      <c r="J690" s="90" t="e">
        <f t="shared" si="262"/>
        <v>#REF!</v>
      </c>
      <c r="K690" s="90" t="e">
        <f t="shared" si="262"/>
        <v>#REF!</v>
      </c>
      <c r="L690" s="90" t="e">
        <f t="shared" si="262"/>
        <v>#REF!</v>
      </c>
      <c r="M690" s="90" t="e">
        <f t="shared" si="262"/>
        <v>#REF!</v>
      </c>
      <c r="N690" s="90" t="e">
        <f t="shared" si="262"/>
        <v>#REF!</v>
      </c>
      <c r="O690" s="90" t="e">
        <f t="shared" si="262"/>
        <v>#REF!</v>
      </c>
      <c r="P690" s="90" t="e">
        <f t="shared" si="262"/>
        <v>#REF!</v>
      </c>
      <c r="Q690" s="90" t="e">
        <f t="shared" si="262"/>
        <v>#REF!</v>
      </c>
      <c r="R690" s="90" t="e">
        <f t="shared" si="262"/>
        <v>#REF!</v>
      </c>
      <c r="S690" s="90" t="e">
        <f t="shared" si="262"/>
        <v>#REF!</v>
      </c>
      <c r="T690" s="90" t="e">
        <f t="shared" si="262"/>
        <v>#REF!</v>
      </c>
      <c r="U690" s="90" t="e">
        <f t="shared" si="262"/>
        <v>#REF!</v>
      </c>
      <c r="V690" s="90" t="e">
        <f t="shared" si="262"/>
        <v>#REF!</v>
      </c>
      <c r="W690" s="90" t="e">
        <f t="shared" si="262"/>
        <v>#REF!</v>
      </c>
      <c r="X690" s="90" t="e">
        <f t="shared" si="262"/>
        <v>#REF!</v>
      </c>
      <c r="Y690" s="90" t="e">
        <f t="shared" si="262"/>
        <v>#REF!</v>
      </c>
      <c r="Z690" s="90" t="e">
        <f t="shared" si="262"/>
        <v>#REF!</v>
      </c>
      <c r="AA690" s="90" t="e">
        <f t="shared" si="262"/>
        <v>#REF!</v>
      </c>
      <c r="AB690" s="90" t="e">
        <f t="shared" si="262"/>
        <v>#REF!</v>
      </c>
      <c r="AC690" s="90" t="e">
        <f t="shared" si="262"/>
        <v>#REF!</v>
      </c>
      <c r="AD690" s="90" t="e">
        <f t="shared" si="262"/>
        <v>#REF!</v>
      </c>
      <c r="AE690" s="90" t="e">
        <f t="shared" si="262"/>
        <v>#REF!</v>
      </c>
      <c r="AF690" s="90" t="e">
        <f t="shared" si="262"/>
        <v>#REF!</v>
      </c>
      <c r="AG690" s="90" t="e">
        <f t="shared" si="262"/>
        <v>#REF!</v>
      </c>
      <c r="AH690" s="90" t="e">
        <f t="shared" si="262"/>
        <v>#REF!</v>
      </c>
      <c r="AI690" s="90" t="e">
        <f t="shared" si="262"/>
        <v>#REF!</v>
      </c>
      <c r="AJ690" s="90" t="e">
        <f t="shared" si="262"/>
        <v>#REF!</v>
      </c>
      <c r="AK690" s="90" t="e">
        <f t="shared" si="262"/>
        <v>#REF!</v>
      </c>
      <c r="AL690" s="90" t="e">
        <f t="shared" si="262"/>
        <v>#REF!</v>
      </c>
      <c r="AM690" s="90" t="e">
        <f t="shared" si="262"/>
        <v>#REF!</v>
      </c>
    </row>
  </sheetData>
  <mergeCells count="174">
    <mergeCell ref="G11:L11"/>
    <mergeCell ref="M11:T11"/>
    <mergeCell ref="U11:AB11"/>
    <mergeCell ref="AC11:AK11"/>
    <mergeCell ref="C60:D60"/>
    <mergeCell ref="C317:E317"/>
    <mergeCell ref="C12:C18"/>
    <mergeCell ref="C19:C25"/>
    <mergeCell ref="C26:C32"/>
    <mergeCell ref="C33:C39"/>
    <mergeCell ref="C40:C46"/>
    <mergeCell ref="C47:C53"/>
    <mergeCell ref="C63:C143"/>
    <mergeCell ref="C144:C214"/>
    <mergeCell ref="C215:C313"/>
    <mergeCell ref="C481:C690"/>
    <mergeCell ref="D63:D71"/>
    <mergeCell ref="D72:D80"/>
    <mergeCell ref="D81:D89"/>
    <mergeCell ref="D90:D98"/>
    <mergeCell ref="D99:D107"/>
    <mergeCell ref="D108:D116"/>
    <mergeCell ref="D117:D125"/>
    <mergeCell ref="D126:D134"/>
    <mergeCell ref="D135:D143"/>
    <mergeCell ref="D144:D150"/>
    <mergeCell ref="D151:D157"/>
    <mergeCell ref="D158:D164"/>
    <mergeCell ref="D165:D171"/>
    <mergeCell ref="D172:D178"/>
    <mergeCell ref="D179:D185"/>
    <mergeCell ref="D186:D192"/>
    <mergeCell ref="D193:D200"/>
    <mergeCell ref="D201:D207"/>
    <mergeCell ref="D208:D214"/>
    <mergeCell ref="D215:D223"/>
    <mergeCell ref="D224:D232"/>
    <mergeCell ref="D233:D241"/>
    <mergeCell ref="D242:D250"/>
    <mergeCell ref="D251:D259"/>
    <mergeCell ref="D260:D268"/>
    <mergeCell ref="D269:D277"/>
    <mergeCell ref="D278:D286"/>
    <mergeCell ref="D287:D295"/>
    <mergeCell ref="D296:D304"/>
    <mergeCell ref="D305:D313"/>
    <mergeCell ref="D320:D332"/>
    <mergeCell ref="D333:D345"/>
    <mergeCell ref="D346:D358"/>
    <mergeCell ref="D359:D371"/>
    <mergeCell ref="D386:D403"/>
    <mergeCell ref="D404:D416"/>
    <mergeCell ref="D417:D434"/>
    <mergeCell ref="D435:D447"/>
    <mergeCell ref="D448:D460"/>
    <mergeCell ref="D481:D510"/>
    <mergeCell ref="D511:D540"/>
    <mergeCell ref="D541:D570"/>
    <mergeCell ref="D571:D600"/>
    <mergeCell ref="D601:D630"/>
    <mergeCell ref="D631:D660"/>
    <mergeCell ref="D661:D690"/>
    <mergeCell ref="E320:E332"/>
    <mergeCell ref="E333:E345"/>
    <mergeCell ref="E346:E358"/>
    <mergeCell ref="E359:E371"/>
    <mergeCell ref="E386:E403"/>
    <mergeCell ref="E404:E416"/>
    <mergeCell ref="E417:E434"/>
    <mergeCell ref="E435:E447"/>
    <mergeCell ref="E448:E460"/>
    <mergeCell ref="E481:E510"/>
    <mergeCell ref="E511:E540"/>
    <mergeCell ref="E541:E570"/>
    <mergeCell ref="E571:E600"/>
    <mergeCell ref="E601:E630"/>
    <mergeCell ref="E631:E660"/>
    <mergeCell ref="E661:E690"/>
    <mergeCell ref="F320:F332"/>
    <mergeCell ref="F333:F345"/>
    <mergeCell ref="F346:F358"/>
    <mergeCell ref="F359:F371"/>
    <mergeCell ref="F386:F403"/>
    <mergeCell ref="F404:F416"/>
    <mergeCell ref="F417:F434"/>
    <mergeCell ref="F435:F447"/>
    <mergeCell ref="F448:F460"/>
    <mergeCell ref="F481:F510"/>
    <mergeCell ref="F511:F540"/>
    <mergeCell ref="F541:F570"/>
    <mergeCell ref="F571:F600"/>
    <mergeCell ref="F601:F630"/>
    <mergeCell ref="F631:F660"/>
    <mergeCell ref="F661:F690"/>
    <mergeCell ref="G320:G324"/>
    <mergeCell ref="G325:G329"/>
    <mergeCell ref="G330:G332"/>
    <mergeCell ref="G333:G337"/>
    <mergeCell ref="G338:G342"/>
    <mergeCell ref="G343:G345"/>
    <mergeCell ref="G346:G350"/>
    <mergeCell ref="G351:G355"/>
    <mergeCell ref="G356:G358"/>
    <mergeCell ref="G359:G363"/>
    <mergeCell ref="G364:G368"/>
    <mergeCell ref="G369:G371"/>
    <mergeCell ref="G372:G376"/>
    <mergeCell ref="G377:G381"/>
    <mergeCell ref="G382:G384"/>
    <mergeCell ref="G386:G390"/>
    <mergeCell ref="G391:G395"/>
    <mergeCell ref="G396:G400"/>
    <mergeCell ref="G401:G403"/>
    <mergeCell ref="G404:G408"/>
    <mergeCell ref="G409:G413"/>
    <mergeCell ref="G414:G416"/>
    <mergeCell ref="G417:G421"/>
    <mergeCell ref="G422:G426"/>
    <mergeCell ref="G427:G431"/>
    <mergeCell ref="G432:G434"/>
    <mergeCell ref="G435:G439"/>
    <mergeCell ref="G440:G444"/>
    <mergeCell ref="G445:G447"/>
    <mergeCell ref="G448:G452"/>
    <mergeCell ref="G453:G457"/>
    <mergeCell ref="G458:G460"/>
    <mergeCell ref="G461:G465"/>
    <mergeCell ref="G466:G470"/>
    <mergeCell ref="G471:G475"/>
    <mergeCell ref="G476:G478"/>
    <mergeCell ref="G481:G485"/>
    <mergeCell ref="G486:G490"/>
    <mergeCell ref="G491:G495"/>
    <mergeCell ref="G496:G500"/>
    <mergeCell ref="G501:G505"/>
    <mergeCell ref="G506:G510"/>
    <mergeCell ref="G511:G515"/>
    <mergeCell ref="G516:G520"/>
    <mergeCell ref="G521:G525"/>
    <mergeCell ref="G526:G530"/>
    <mergeCell ref="G531:G535"/>
    <mergeCell ref="G536:G540"/>
    <mergeCell ref="G541:G545"/>
    <mergeCell ref="G546:G550"/>
    <mergeCell ref="G551:G555"/>
    <mergeCell ref="G556:G560"/>
    <mergeCell ref="G561:G565"/>
    <mergeCell ref="G566:G570"/>
    <mergeCell ref="G571:G575"/>
    <mergeCell ref="G576:G580"/>
    <mergeCell ref="G581:G585"/>
    <mergeCell ref="G586:G590"/>
    <mergeCell ref="G591:G595"/>
    <mergeCell ref="G596:G600"/>
    <mergeCell ref="G601:G605"/>
    <mergeCell ref="G606:G610"/>
    <mergeCell ref="G611:G615"/>
    <mergeCell ref="G616:G620"/>
    <mergeCell ref="G621:G625"/>
    <mergeCell ref="G626:G630"/>
    <mergeCell ref="G631:G635"/>
    <mergeCell ref="G636:G640"/>
    <mergeCell ref="G641:G645"/>
    <mergeCell ref="G646:G650"/>
    <mergeCell ref="G651:G655"/>
    <mergeCell ref="G656:G660"/>
    <mergeCell ref="G661:G665"/>
    <mergeCell ref="G666:G670"/>
    <mergeCell ref="G671:G675"/>
    <mergeCell ref="G676:G680"/>
    <mergeCell ref="G681:G685"/>
    <mergeCell ref="G686:G690"/>
    <mergeCell ref="D461:F478"/>
    <mergeCell ref="D372:F384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2"/>
  <sheetViews>
    <sheetView workbookViewId="0">
      <selection activeCell="A1" sqref="A1"/>
    </sheetView>
  </sheetViews>
  <sheetFormatPr defaultColWidth="9" defaultRowHeight="15.45" customHeight="1" outlineLevelRow="1" outlineLevelCol="5"/>
  <cols>
    <col min="1" max="5" width="9" style="1"/>
    <col min="6" max="6" width="12.6363636363636" style="1" customWidth="1"/>
    <col min="7" max="40" width="9" style="1"/>
  </cols>
  <sheetData>
    <row r="1" customHeight="1" spans="1:6">
      <c r="A1" s="1" t="s">
        <v>120</v>
      </c>
      <c r="B1" s="2" t="s">
        <v>121</v>
      </c>
      <c r="C1" s="2" t="s">
        <v>122</v>
      </c>
      <c r="D1" s="1" t="s">
        <v>105</v>
      </c>
      <c r="E1" s="1" t="s">
        <v>36</v>
      </c>
      <c r="F1" s="1" t="s">
        <v>123</v>
      </c>
    </row>
    <row r="2" customHeight="1" spans="1:6">
      <c r="B2" s="2" t="s">
        <v>124</v>
      </c>
      <c r="C2" s="2" t="s">
        <v>125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26年7月京东平台节奏</vt:lpstr>
      <vt:lpstr>26年7月目标拆解及登记</vt:lpstr>
      <vt:lpstr>sku匹配表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Mark Lv</cp:lastModifiedBy>
  <dcterms:created xsi:type="dcterms:W3CDTF">2006-09-16T00:00:00Z</dcterms:created>
  <dcterms:modified xsi:type="dcterms:W3CDTF">2026-07-02T06:50:26Z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256AF18890354E95B1A4FD8CDF1D5165_12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